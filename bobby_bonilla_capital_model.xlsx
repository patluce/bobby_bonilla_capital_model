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tantec-my.sharepoint.com/personal/patrick_luce_stantec_com/Documents/Desktop/"/>
    </mc:Choice>
  </mc:AlternateContent>
  <xr:revisionPtr revIDLastSave="4" documentId="8_{4F1AD4C9-A8C5-43A7-87AD-95B04C853EC2}" xr6:coauthVersionLast="47" xr6:coauthVersionMax="47" xr10:uidLastSave="{5902FB3A-5BBC-4322-8AFC-B5668F3FFA33}"/>
  <bookViews>
    <workbookView xWindow="-120" yWindow="-120" windowWidth="29040" windowHeight="15720" xr2:uid="{BDFDFE4A-9D3F-41CF-9AF0-5E3346359B0F}"/>
  </bookViews>
  <sheets>
    <sheet name="Bobby's Deal" sheetId="1" r:id="rId1"/>
    <sheet name="Run Your Own" sheetId="2" r:id="rId2"/>
    <sheet name="Capital Investment" sheetId="3" r:id="rId3"/>
    <sheet name="Notes" sheetId="4" r:id="rId4"/>
  </sheets>
  <externalReferences>
    <externalReference r:id="rId5"/>
  </externalReferences>
  <calcPr calcId="191029" iterate="1" iterateCount="151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8" i="3" l="1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E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3" i="3"/>
  <c r="J33" i="3"/>
  <c r="I33" i="3"/>
  <c r="H33" i="3"/>
  <c r="G33" i="3"/>
  <c r="F33" i="3"/>
  <c r="E33" i="3"/>
  <c r="D33" i="3"/>
  <c r="K32" i="3"/>
  <c r="J32" i="3"/>
  <c r="I32" i="3"/>
  <c r="H32" i="3"/>
  <c r="G32" i="3"/>
  <c r="F32" i="3"/>
  <c r="E32" i="3"/>
  <c r="D32" i="3"/>
  <c r="K31" i="3"/>
  <c r="J31" i="3"/>
  <c r="I31" i="3"/>
  <c r="H31" i="3"/>
  <c r="G31" i="3"/>
  <c r="F31" i="3"/>
  <c r="E31" i="3"/>
  <c r="D31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B27" i="3"/>
  <c r="B26" i="3"/>
  <c r="G25" i="3"/>
  <c r="F25" i="3"/>
  <c r="E25" i="3"/>
  <c r="D25" i="3"/>
  <c r="B25" i="3"/>
  <c r="G24" i="3"/>
  <c r="F24" i="3"/>
  <c r="E24" i="3"/>
  <c r="D24" i="3"/>
  <c r="B24" i="3"/>
  <c r="G23" i="3"/>
  <c r="F23" i="3"/>
  <c r="E23" i="3"/>
  <c r="D23" i="3"/>
  <c r="B23" i="3"/>
  <c r="G22" i="3"/>
  <c r="F22" i="3"/>
  <c r="E22" i="3"/>
  <c r="D22" i="3"/>
  <c r="B22" i="3"/>
  <c r="G21" i="3"/>
  <c r="F21" i="3"/>
  <c r="E21" i="3"/>
  <c r="D21" i="3"/>
  <c r="G20" i="3"/>
  <c r="F20" i="3"/>
  <c r="E20" i="3"/>
  <c r="D20" i="3"/>
  <c r="G19" i="3"/>
  <c r="F19" i="3"/>
  <c r="E19" i="3"/>
  <c r="D19" i="3"/>
  <c r="G18" i="3"/>
  <c r="F18" i="3"/>
  <c r="E18" i="3"/>
  <c r="D18" i="3"/>
  <c r="G17" i="3"/>
  <c r="F17" i="3"/>
  <c r="E17" i="3"/>
  <c r="D17" i="3"/>
  <c r="G16" i="3"/>
  <c r="F16" i="3"/>
  <c r="E16" i="3"/>
  <c r="D16" i="3"/>
  <c r="G15" i="3"/>
  <c r="F15" i="3"/>
  <c r="E15" i="3"/>
  <c r="D15" i="3"/>
  <c r="G14" i="3"/>
  <c r="F14" i="3"/>
  <c r="E14" i="3"/>
  <c r="D14" i="3"/>
  <c r="B14" i="3"/>
  <c r="G13" i="3"/>
  <c r="F13" i="3"/>
  <c r="E13" i="3"/>
  <c r="D13" i="3"/>
  <c r="B13" i="3"/>
  <c r="G12" i="3"/>
  <c r="F12" i="3"/>
  <c r="E12" i="3"/>
  <c r="D12" i="3"/>
  <c r="B12" i="3"/>
  <c r="G11" i="3"/>
  <c r="F11" i="3"/>
  <c r="E11" i="3"/>
  <c r="D11" i="3"/>
  <c r="B11" i="3"/>
  <c r="G10" i="3"/>
  <c r="F10" i="3"/>
  <c r="E10" i="3"/>
  <c r="D10" i="3"/>
  <c r="G9" i="3"/>
  <c r="F9" i="3"/>
  <c r="E9" i="3"/>
  <c r="D9" i="3"/>
  <c r="G8" i="3"/>
  <c r="F8" i="3"/>
  <c r="E8" i="3"/>
  <c r="D8" i="3"/>
  <c r="G7" i="3"/>
  <c r="F7" i="3"/>
  <c r="E7" i="3"/>
  <c r="D7" i="3"/>
  <c r="G6" i="3"/>
  <c r="F6" i="3"/>
  <c r="E6" i="3"/>
  <c r="D6" i="3"/>
  <c r="G5" i="3"/>
  <c r="F5" i="3"/>
  <c r="E5" i="3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B17" i="2"/>
  <c r="B16" i="2"/>
  <c r="B15" i="2"/>
  <c r="B14" i="2"/>
  <c r="B13" i="2"/>
  <c r="B12" i="2"/>
  <c r="I64" i="1"/>
  <c r="H64" i="1"/>
  <c r="G64" i="1"/>
  <c r="F64" i="1"/>
  <c r="E64" i="1"/>
  <c r="D64" i="1"/>
  <c r="C64" i="1"/>
  <c r="B64" i="1"/>
  <c r="A64" i="1"/>
  <c r="I63" i="1"/>
  <c r="H63" i="1"/>
  <c r="G63" i="1"/>
  <c r="F63" i="1"/>
  <c r="E63" i="1"/>
  <c r="D63" i="1"/>
  <c r="C63" i="1"/>
  <c r="B63" i="1"/>
  <c r="A63" i="1"/>
  <c r="I62" i="1"/>
  <c r="H62" i="1"/>
  <c r="G62" i="1"/>
  <c r="F62" i="1"/>
  <c r="E62" i="1"/>
  <c r="D62" i="1"/>
  <c r="C62" i="1"/>
  <c r="B62" i="1"/>
  <c r="A62" i="1"/>
  <c r="I61" i="1"/>
  <c r="H61" i="1"/>
  <c r="G61" i="1"/>
  <c r="F61" i="1"/>
  <c r="E61" i="1"/>
  <c r="D61" i="1"/>
  <c r="C61" i="1"/>
  <c r="B61" i="1"/>
  <c r="A61" i="1"/>
  <c r="I60" i="1"/>
  <c r="H60" i="1"/>
  <c r="G60" i="1"/>
  <c r="F60" i="1"/>
  <c r="E60" i="1"/>
  <c r="D60" i="1"/>
  <c r="C60" i="1"/>
  <c r="B60" i="1"/>
  <c r="A60" i="1"/>
  <c r="I59" i="1"/>
  <c r="H59" i="1"/>
  <c r="G59" i="1"/>
  <c r="F59" i="1"/>
  <c r="E59" i="1"/>
  <c r="D59" i="1"/>
  <c r="C59" i="1"/>
  <c r="B59" i="1"/>
  <c r="A59" i="1"/>
  <c r="I58" i="1"/>
  <c r="H58" i="1"/>
  <c r="G58" i="1"/>
  <c r="F58" i="1"/>
  <c r="E58" i="1"/>
  <c r="D58" i="1"/>
  <c r="C58" i="1"/>
  <c r="B58" i="1"/>
  <c r="A58" i="1"/>
  <c r="I57" i="1"/>
  <c r="H57" i="1"/>
  <c r="G57" i="1"/>
  <c r="F57" i="1"/>
  <c r="E57" i="1"/>
  <c r="D57" i="1"/>
  <c r="C57" i="1"/>
  <c r="B57" i="1"/>
  <c r="A57" i="1"/>
  <c r="I56" i="1"/>
  <c r="H56" i="1"/>
  <c r="G56" i="1"/>
  <c r="F56" i="1"/>
  <c r="E56" i="1"/>
  <c r="D56" i="1"/>
  <c r="C56" i="1"/>
  <c r="B56" i="1"/>
  <c r="A56" i="1"/>
  <c r="I55" i="1"/>
  <c r="H55" i="1"/>
  <c r="G55" i="1"/>
  <c r="F55" i="1"/>
  <c r="E55" i="1"/>
  <c r="D55" i="1"/>
  <c r="C55" i="1"/>
  <c r="B55" i="1"/>
  <c r="A55" i="1"/>
  <c r="I54" i="1"/>
  <c r="H54" i="1"/>
  <c r="G54" i="1"/>
  <c r="F54" i="1"/>
  <c r="E54" i="1"/>
  <c r="D54" i="1"/>
  <c r="C54" i="1"/>
  <c r="B54" i="1"/>
  <c r="A54" i="1"/>
  <c r="I53" i="1"/>
  <c r="H53" i="1"/>
  <c r="G53" i="1"/>
  <c r="F53" i="1"/>
  <c r="E53" i="1"/>
  <c r="D53" i="1"/>
  <c r="C53" i="1"/>
  <c r="B53" i="1"/>
  <c r="A53" i="1"/>
  <c r="I52" i="1"/>
  <c r="H52" i="1"/>
  <c r="G52" i="1"/>
  <c r="F52" i="1"/>
  <c r="E52" i="1"/>
  <c r="D52" i="1"/>
  <c r="C52" i="1"/>
  <c r="B52" i="1"/>
  <c r="A52" i="1"/>
  <c r="I51" i="1"/>
  <c r="H51" i="1"/>
  <c r="G51" i="1"/>
  <c r="F51" i="1"/>
  <c r="E51" i="1"/>
  <c r="D51" i="1"/>
  <c r="C51" i="1"/>
  <c r="B51" i="1"/>
  <c r="A51" i="1"/>
  <c r="I50" i="1"/>
  <c r="H50" i="1"/>
  <c r="G50" i="1"/>
  <c r="F50" i="1"/>
  <c r="E50" i="1"/>
  <c r="D50" i="1"/>
  <c r="C50" i="1"/>
  <c r="B50" i="1"/>
  <c r="A50" i="1"/>
  <c r="I49" i="1"/>
  <c r="H49" i="1"/>
  <c r="G49" i="1"/>
  <c r="F49" i="1"/>
  <c r="E49" i="1"/>
  <c r="D49" i="1"/>
  <c r="C49" i="1"/>
  <c r="B49" i="1"/>
  <c r="A49" i="1"/>
  <c r="I48" i="1"/>
  <c r="H48" i="1"/>
  <c r="G48" i="1"/>
  <c r="F48" i="1"/>
  <c r="E48" i="1"/>
  <c r="D48" i="1"/>
  <c r="C48" i="1"/>
  <c r="B48" i="1"/>
  <c r="A48" i="1"/>
  <c r="I47" i="1"/>
  <c r="H47" i="1"/>
  <c r="G47" i="1"/>
  <c r="F47" i="1"/>
  <c r="E47" i="1"/>
  <c r="D47" i="1"/>
  <c r="C47" i="1"/>
  <c r="B47" i="1"/>
  <c r="A47" i="1"/>
  <c r="I46" i="1"/>
  <c r="H46" i="1"/>
  <c r="G46" i="1"/>
  <c r="F46" i="1"/>
  <c r="E46" i="1"/>
  <c r="D46" i="1"/>
  <c r="C46" i="1"/>
  <c r="B46" i="1"/>
  <c r="A46" i="1"/>
  <c r="I45" i="1"/>
  <c r="H45" i="1"/>
  <c r="G45" i="1"/>
  <c r="F45" i="1"/>
  <c r="E45" i="1"/>
  <c r="D45" i="1"/>
  <c r="C45" i="1"/>
  <c r="B45" i="1"/>
  <c r="A45" i="1"/>
  <c r="I44" i="1"/>
  <c r="H44" i="1"/>
  <c r="G44" i="1"/>
  <c r="F44" i="1"/>
  <c r="E44" i="1"/>
  <c r="D44" i="1"/>
  <c r="C44" i="1"/>
  <c r="B44" i="1"/>
  <c r="A44" i="1"/>
  <c r="I43" i="1"/>
  <c r="H43" i="1"/>
  <c r="G43" i="1"/>
  <c r="F43" i="1"/>
  <c r="E43" i="1"/>
  <c r="D43" i="1"/>
  <c r="C43" i="1"/>
  <c r="B43" i="1"/>
  <c r="A43" i="1"/>
  <c r="I42" i="1"/>
  <c r="H42" i="1"/>
  <c r="G42" i="1"/>
  <c r="F42" i="1"/>
  <c r="E42" i="1"/>
  <c r="D42" i="1"/>
  <c r="C42" i="1"/>
  <c r="B42" i="1"/>
  <c r="A42" i="1"/>
  <c r="I41" i="1"/>
  <c r="H41" i="1"/>
  <c r="G41" i="1"/>
  <c r="F41" i="1"/>
  <c r="E41" i="1"/>
  <c r="D41" i="1"/>
  <c r="C41" i="1"/>
  <c r="B41" i="1"/>
  <c r="A41" i="1"/>
  <c r="I40" i="1"/>
  <c r="H40" i="1"/>
  <c r="G40" i="1"/>
  <c r="F40" i="1"/>
  <c r="E40" i="1"/>
  <c r="D40" i="1"/>
  <c r="C40" i="1"/>
  <c r="B40" i="1"/>
  <c r="A40" i="1"/>
  <c r="I39" i="1"/>
  <c r="H39" i="1"/>
  <c r="G39" i="1"/>
  <c r="F39" i="1"/>
  <c r="E39" i="1"/>
  <c r="D39" i="1"/>
  <c r="C39" i="1"/>
  <c r="B39" i="1"/>
  <c r="A39" i="1"/>
  <c r="I38" i="1"/>
  <c r="H38" i="1"/>
  <c r="G38" i="1"/>
  <c r="F38" i="1"/>
  <c r="E38" i="1"/>
  <c r="D38" i="1"/>
  <c r="C38" i="1"/>
  <c r="B38" i="1"/>
  <c r="A38" i="1"/>
  <c r="I37" i="1"/>
  <c r="H37" i="1"/>
  <c r="G37" i="1"/>
  <c r="F37" i="1"/>
  <c r="E37" i="1"/>
  <c r="D37" i="1"/>
  <c r="C37" i="1"/>
  <c r="B37" i="1"/>
  <c r="A37" i="1"/>
  <c r="I36" i="1"/>
  <c r="H36" i="1"/>
  <c r="G36" i="1"/>
  <c r="F36" i="1"/>
  <c r="E36" i="1"/>
  <c r="D36" i="1"/>
  <c r="C36" i="1"/>
  <c r="B36" i="1"/>
  <c r="A36" i="1"/>
  <c r="I35" i="1"/>
  <c r="H35" i="1"/>
  <c r="G35" i="1"/>
  <c r="F35" i="1"/>
  <c r="E35" i="1"/>
  <c r="D35" i="1"/>
  <c r="C35" i="1"/>
  <c r="B35" i="1"/>
  <c r="A35" i="1"/>
  <c r="I34" i="1"/>
  <c r="H34" i="1"/>
  <c r="G34" i="1"/>
  <c r="F34" i="1"/>
  <c r="E34" i="1"/>
  <c r="D34" i="1"/>
  <c r="C34" i="1"/>
  <c r="B34" i="1"/>
  <c r="A34" i="1"/>
  <c r="I33" i="1"/>
  <c r="H33" i="1"/>
  <c r="G33" i="1"/>
  <c r="F33" i="1"/>
  <c r="E33" i="1"/>
  <c r="D33" i="1"/>
  <c r="C33" i="1"/>
  <c r="B33" i="1"/>
  <c r="A33" i="1"/>
  <c r="I32" i="1"/>
  <c r="H32" i="1"/>
  <c r="G32" i="1"/>
  <c r="F32" i="1"/>
  <c r="E32" i="1"/>
  <c r="D32" i="1"/>
  <c r="C32" i="1"/>
  <c r="B32" i="1"/>
  <c r="A32" i="1"/>
  <c r="I31" i="1"/>
  <c r="H31" i="1"/>
  <c r="G31" i="1"/>
  <c r="F31" i="1"/>
  <c r="E31" i="1"/>
  <c r="D31" i="1"/>
  <c r="C31" i="1"/>
  <c r="B31" i="1"/>
  <c r="A31" i="1"/>
  <c r="I30" i="1"/>
  <c r="H30" i="1"/>
  <c r="G30" i="1"/>
  <c r="F30" i="1"/>
  <c r="E30" i="1"/>
  <c r="D30" i="1"/>
  <c r="C30" i="1"/>
  <c r="B30" i="1"/>
  <c r="A30" i="1"/>
  <c r="I29" i="1"/>
  <c r="H29" i="1"/>
  <c r="G29" i="1"/>
  <c r="F29" i="1"/>
  <c r="E29" i="1"/>
  <c r="D29" i="1"/>
  <c r="B24" i="1"/>
  <c r="B23" i="1"/>
  <c r="B22" i="1"/>
  <c r="B21" i="1"/>
  <c r="B20" i="1"/>
  <c r="B19" i="1"/>
  <c r="B18" i="1"/>
  <c r="B11" i="1"/>
  <c r="B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E298CE68-C991-4A18-AAA9-0C00254C4BAA}">
      <text>
        <r>
          <rPr>
            <sz val="10"/>
            <rFont val="Arial"/>
            <family val="2"/>
          </rPr>
          <t>Source: Mets buyout of remaining 2000 salary. Wikipedia; CBS Sports.</t>
        </r>
      </text>
    </comment>
    <comment ref="B6" authorId="0" shapeId="0" xr:uid="{E14BA1DA-47D9-4BDB-B115-4F6FEFCBB694}">
      <text>
        <r>
          <rPr>
            <sz val="10"/>
            <rFont val="Arial"/>
            <family val="2"/>
          </rPr>
          <t>Source: MLB deferred-salary agreement. $1,193,248.20 each July 1.</t>
        </r>
      </text>
    </comment>
    <comment ref="B14" authorId="0" shapeId="0" xr:uid="{35DD27AA-4EAA-4EA7-89C2-D4F7032830D6}">
      <text>
        <r>
          <rPr>
            <sz val="10"/>
            <rFont val="Arial"/>
            <family val="2"/>
          </rPr>
          <t>The one lever. Below 8% the deal costs the Mets; above 8% it pays.</t>
        </r>
      </text>
    </comment>
    <comment ref="B22" authorId="0" shapeId="0" xr:uid="{4110B634-7074-4D7B-8DD8-6C0FFAF9BCEE}">
      <text>
        <r>
          <rPr>
            <sz val="10"/>
            <rFont val="Arial"/>
            <family val="2"/>
          </rPr>
          <t>If the Mets invested $5.9M at the discount rate and paid Bobby from it, this is what is left in 2035.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5" authorId="0" shapeId="0" xr:uid="{2A5D1E8A-C76E-4E30-A0F5-AD037C89ECD1}">
      <text>
        <r>
          <rPr>
            <sz val="10"/>
            <rFont val="Arial"/>
            <family val="2"/>
          </rPr>
          <t>The return the stream pays you for waiting. Beat it with your own rate and the lump sum wins.</t>
        </r>
      </text>
    </comment>
    <comment ref="B20" authorId="0" shapeId="0" xr:uid="{573C427C-BB6C-4602-8C3D-6554CF4C0527}">
      <text>
        <r>
          <rPr>
            <sz val="10"/>
            <rFont val="Arial"/>
            <family val="2"/>
          </rPr>
          <t>Source: Federal Reserve, target range 3.50% to 3.75%, June 2026.</t>
        </r>
      </text>
    </comment>
    <comment ref="B21" authorId="0" shapeId="0" xr:uid="{DCE0CF97-41A5-438F-8B0C-F25214258CC2}">
      <text>
        <r>
          <rPr>
            <sz val="10"/>
            <rFont val="Arial"/>
            <family val="2"/>
          </rPr>
          <t>Source: FRED DGS10, late June 2026.</t>
        </r>
      </text>
    </comment>
    <comment ref="B22" authorId="0" shapeId="0" xr:uid="{BA771D91-BC25-44D5-8D4B-A2087A2F0D4B}">
      <text>
        <r>
          <rPr>
            <sz val="10"/>
            <rFont val="Arial"/>
            <family val="2"/>
          </rPr>
          <t>Source: Freddie Mac survey, June 2026.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0" authorId="0" shapeId="0" xr:uid="{417449C9-BD2D-41C6-870E-35F42738BA2D}">
      <text>
        <r>
          <rPr>
            <sz val="10"/>
            <rFont val="Arial"/>
            <family val="2"/>
          </rPr>
          <t>If the cash would otherwise fund projects at your hurdle rate, use a higher number. If it would sit in T-bills, about 4% now.</t>
        </r>
      </text>
    </comment>
    <comment ref="B23" authorId="0" shapeId="0" xr:uid="{E7FA99F9-96F2-442D-82FA-29CE28D0D637}">
      <text>
        <r>
          <rPr>
            <sz val="10"/>
            <rFont val="Arial"/>
            <family val="2"/>
          </rPr>
          <t>Interest is tax deductible, so debt costs less after tax. Compare this to the return on retained cash.</t>
        </r>
      </text>
    </comment>
  </commentList>
</comments>
</file>

<file path=xl/sharedStrings.xml><?xml version="1.0" encoding="utf-8"?>
<sst xmlns="http://schemas.openxmlformats.org/spreadsheetml/2006/main" count="108" uniqueCount="99">
  <si>
    <t>Bobby Bonilla Day: The Discount-Rate Model</t>
  </si>
  <si>
    <t>Change the yellow cells. Every black number recalculates.</t>
  </si>
  <si>
    <t>DEAL TERMS (GIVEN)</t>
  </si>
  <si>
    <t>Amount owed to Bonilla, 2000</t>
  </si>
  <si>
    <t>Annual payment, 2011 to 2035</t>
  </si>
  <si>
    <t>First payment year</t>
  </si>
  <si>
    <t>Last payment year</t>
  </si>
  <si>
    <t>Base year, deferral set</t>
  </si>
  <si>
    <t>Number of payments</t>
  </si>
  <si>
    <t>Total nominal paid</t>
  </si>
  <si>
    <t>SCENARIO INPUTS (CHANGE THESE)</t>
  </si>
  <si>
    <t>Discount rate: what the Mets could earn</t>
  </si>
  <si>
    <t>Inflation assumption</t>
  </si>
  <si>
    <t>RESULTS</t>
  </si>
  <si>
    <t>Present value of payments in 2000</t>
  </si>
  <si>
    <t>The Mets owed (2000)</t>
  </si>
  <si>
    <t>Net to the Mets (owed minus PV)</t>
  </si>
  <si>
    <t>Verdict</t>
  </si>
  <si>
    <t>Ending fund balance in 2035</t>
  </si>
  <si>
    <t>Final 2035 check in 2011 dollars</t>
  </si>
  <si>
    <t>Total nominal in 2011 dollars</t>
  </si>
  <si>
    <t>Year</t>
  </si>
  <si>
    <t>Opening balance</t>
  </si>
  <si>
    <t>Interest</t>
  </si>
  <si>
    <t>Payment</t>
  </si>
  <si>
    <t>Closing balance</t>
  </si>
  <si>
    <t>PV factor to 2000</t>
  </si>
  <si>
    <t>PV of payment</t>
  </si>
  <si>
    <t>Real factor to 2011</t>
  </si>
  <si>
    <t>Real payment (2011$)</t>
  </si>
  <si>
    <t>Run Your Own Number: Lump Sum vs. Payments</t>
  </si>
  <si>
    <t>Offered cash now or a stream of payments? Change the yellow cells.</t>
  </si>
  <si>
    <t>INPUTS (CHANGE THESE)</t>
  </si>
  <si>
    <t>Lump sum offered now</t>
  </si>
  <si>
    <t>Payment each period</t>
  </si>
  <si>
    <t>Years until first payment</t>
  </si>
  <si>
    <t>Your discount rate: what you can earn</t>
  </si>
  <si>
    <t>Present value of the payments at your rate</t>
  </si>
  <si>
    <t>Lump sum now</t>
  </si>
  <si>
    <t>Nominal total of payments</t>
  </si>
  <si>
    <t>Built-in rate of the payments (IRR)</t>
  </si>
  <si>
    <t>Difference (PV minus lump)</t>
  </si>
  <si>
    <t>RATE CONTEXT (late June 2026)</t>
  </si>
  <si>
    <t>Federal funds target (midpoint)</t>
  </si>
  <si>
    <t>10-year Treasury</t>
  </si>
  <si>
    <t>30-year mortgage</t>
  </si>
  <si>
    <t>Your safe rate is roughly what Treasuries pay.</t>
  </si>
  <si>
    <t>Period</t>
  </si>
  <si>
    <t>Net cash flow (IRR)</t>
  </si>
  <si>
    <t>Payment only</t>
  </si>
  <si>
    <t>Capital Investment: Invest? Then Cash or Debt?</t>
  </si>
  <si>
    <t>Two decisions. First whether the project clears the bar, then how to pay for it.</t>
  </si>
  <si>
    <t>PROJECT CASH FLOWS</t>
  </si>
  <si>
    <t>A.  SHOULD WE INVEST?</t>
  </si>
  <si>
    <t>t</t>
  </si>
  <si>
    <t>Project cash flow</t>
  </si>
  <si>
    <t>DF at hurdle</t>
  </si>
  <si>
    <t>PV</t>
  </si>
  <si>
    <t>Upfront investment (capex)</t>
  </si>
  <si>
    <t>Project life (years)</t>
  </si>
  <si>
    <t>Annual operating cash flow</t>
  </si>
  <si>
    <t>Terminal / salvage value</t>
  </si>
  <si>
    <t>Cost of capital (hurdle rate)</t>
  </si>
  <si>
    <t>Project NPV at hurdle rate</t>
  </si>
  <si>
    <t>Project IRR</t>
  </si>
  <si>
    <t>Profitability index (PV inflows / cost)</t>
  </si>
  <si>
    <t>B.  CASH OR DEBT?</t>
  </si>
  <si>
    <t>Cost of debt (loan rate)</t>
  </si>
  <si>
    <t>Loan term (years)</t>
  </si>
  <si>
    <t>Corporate tax rate</t>
  </si>
  <si>
    <t>Return on retained cash</t>
  </si>
  <si>
    <t>Annual loan payment (amortizing)</t>
  </si>
  <si>
    <t>After-tax cost of debt</t>
  </si>
  <si>
    <t>PV of paying cash (today)</t>
  </si>
  <si>
    <t>PV of debt financing (at cash rate)</t>
  </si>
  <si>
    <t>Net advantage of debt (cash minus debt)</t>
  </si>
  <si>
    <t>DEBT AMORTIZATION SCHEDULE</t>
  </si>
  <si>
    <t>Beg balance</t>
  </si>
  <si>
    <t>Principal</t>
  </si>
  <si>
    <t>End balance</t>
  </si>
  <si>
    <t>After-tax pmt</t>
  </si>
  <si>
    <t>PV at cash rate</t>
  </si>
  <si>
    <t>The Bonilla trade in a suit: borrowing to keep cash invested wins only when your after-tax cost of debt sits below what the cash earns, the same spread the Mets bet on in 2000.</t>
  </si>
  <si>
    <t>Notes and Sources</t>
  </si>
  <si>
    <t>What this models</t>
  </si>
  <si>
    <t>The Mets owed Bobby Bonilla $5.9 million in 2000. Instead of paying it, they deferred at 8% and now pay</t>
  </si>
  <si>
    <t>$1,193,248.20 every July 1 from 2011 through 2035, which sums to $29,831,205. Sheet 1 shows that the</t>
  </si>
  <si>
    <t>$29.8M and the $5.9M are the same number: discount the payments back to 2000 at 8% and you land on $5.9M.</t>
  </si>
  <si>
    <t>The deal was, by construction, exactly fair at 8%. Whether it helped the Mets depends only on whether they</t>
  </si>
  <si>
    <t>could earn more or less than 8% on the cash they kept. Move the yellow discount-rate cell to see it flip.</t>
  </si>
  <si>
    <t>Sheet 2 answers the same question for any offer you face: a pension buyout, a lottery cash-vs-annuity choice,</t>
  </si>
  <si>
    <t>or a structured settlement. It finds the rate baked into the payment stream (IRR) and compares it to your own.</t>
  </si>
  <si>
    <t>Take the payments when their built-in rate beats what you can reliably earn; take the cash when it does not.</t>
  </si>
  <si>
    <t>The rate environment (late June 2026)</t>
  </si>
  <si>
    <t>Federal funds target 3.50% to 3.75%. 10-year Treasury about 4.4%, split into roughly 2.2% real yield plus</t>
  </si>
  <si>
    <t>2.2% expected inflation. 30-year mortgage near 6.5%. Prime rate 6.75%. A discount rate is not something you</t>
  </si>
  <si>
    <t>invent; you rent it from the bond market, and the Fed sets the short end. Sources: Federal Reserve; FRED</t>
  </si>
  <si>
    <t>series DGS10 and DFII10; Freddie Mac. Contract terms: Wikipedia and CBS Sports.</t>
  </si>
  <si>
    <t>This workbook is educational and is not financial advice.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</si>
</sst>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;&quot;($&quot;#,##0\);\-"/>
    <numFmt numFmtId="165" formatCode="\$#,##0.00;&quot;($&quot;#,##0.00\);\-"/>
    <numFmt numFmtId="166" formatCode="0.0000"/>
    <numFmt numFmtId="167" formatCode="0.00\x"/>
  </numFmts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rgb="FF1E5C3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  <font>
      <sz val="10"/>
      <name val="Arial"/>
      <family val="2"/>
    </font>
    <font>
      <b/>
      <sz val="9"/>
      <color rgb="FF1E5C3F"/>
      <name val="Arial"/>
      <family val="2"/>
    </font>
    <font>
      <b/>
      <sz val="11"/>
      <color rgb="FF1E5C3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E5C3F"/>
        <bgColor rgb="FF595959"/>
      </patternFill>
    </fill>
    <fill>
      <patternFill patternType="solid">
        <fgColor rgb="FFE4EDE4"/>
        <bgColor rgb="FFD9D9D9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CDD6C9"/>
      </left>
      <right style="thin">
        <color rgb="FFCDD6C9"/>
      </right>
      <top style="thin">
        <color rgb="FFCDD6C9"/>
      </top>
      <bottom style="thin">
        <color rgb="FFCDD6C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3" fillId="3" borderId="0" xfId="0" applyFont="1" applyFill="1"/>
    <xf numFmtId="0" fontId="0" fillId="3" borderId="0" xfId="0" applyFill="1"/>
    <xf numFmtId="0" fontId="4" fillId="0" borderId="0" xfId="0" applyFont="1"/>
    <xf numFmtId="164" fontId="5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1" fontId="5" fillId="0" borderId="0" xfId="0" applyNumberFormat="1" applyFont="1" applyAlignment="1">
      <alignment horizontal="right" vertical="center"/>
    </xf>
    <xf numFmtId="1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0" fontId="5" fillId="4" borderId="0" xfId="0" applyNumberFormat="1" applyFont="1" applyFill="1" applyAlignment="1">
      <alignment horizontal="right" vertical="center"/>
    </xf>
    <xf numFmtId="0" fontId="6" fillId="0" borderId="0" xfId="0" applyFont="1"/>
    <xf numFmtId="0" fontId="3" fillId="0" borderId="0" xfId="0" applyFont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4" fontId="5" fillId="4" borderId="0" xfId="0" applyNumberFormat="1" applyFont="1" applyFill="1" applyAlignment="1">
      <alignment horizontal="right" vertical="center"/>
    </xf>
    <xf numFmtId="1" fontId="5" fillId="4" borderId="0" xfId="0" applyNumberFormat="1" applyFont="1" applyFill="1" applyAlignment="1">
      <alignment horizontal="right" vertical="center"/>
    </xf>
    <xf numFmtId="10" fontId="4" fillId="0" borderId="0" xfId="0" applyNumberFormat="1" applyFont="1" applyAlignment="1">
      <alignment horizontal="right" vertical="center"/>
    </xf>
    <xf numFmtId="10" fontId="5" fillId="0" borderId="0" xfId="0" applyNumberFormat="1" applyFont="1" applyAlignment="1">
      <alignment horizontal="right" vertical="center"/>
    </xf>
    <xf numFmtId="0" fontId="9" fillId="0" borderId="0" xfId="0" applyFont="1"/>
    <xf numFmtId="167" fontId="4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top"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Fund balance, 2000 to 2035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'Bobby''s Deal'!$E$28</c:f>
              <c:strCache>
                <c:ptCount val="1"/>
                <c:pt idx="0">
                  <c:v>Closing balance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'Bobby''s Deal'!$A$29:$A$64</c:f>
              <c:numCache>
                <c:formatCode>0</c:formatCode>
                <c:ptCount val="3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</c:numCache>
            </c:numRef>
          </c:cat>
          <c:val>
            <c:numRef>
              <c:f>'Bobby''s Deal'!$E$29:$E$64</c:f>
              <c:numCache>
                <c:formatCode>\$#,##0;"($"#,##0\);\-</c:formatCode>
                <c:ptCount val="36"/>
                <c:pt idx="0">
                  <c:v>5900000</c:v>
                </c:pt>
                <c:pt idx="1">
                  <c:v>6372000</c:v>
                </c:pt>
                <c:pt idx="2">
                  <c:v>6881760</c:v>
                </c:pt>
                <c:pt idx="3">
                  <c:v>7432300.7999999998</c:v>
                </c:pt>
                <c:pt idx="4">
                  <c:v>8026884.8640000001</c:v>
                </c:pt>
                <c:pt idx="5">
                  <c:v>8669035.6531199999</c:v>
                </c:pt>
                <c:pt idx="6">
                  <c:v>9362558.5053695999</c:v>
                </c:pt>
                <c:pt idx="7">
                  <c:v>10111563.1857992</c:v>
                </c:pt>
                <c:pt idx="8">
                  <c:v>10920488.2406631</c:v>
                </c:pt>
                <c:pt idx="9">
                  <c:v>11794127.2999162</c:v>
                </c:pt>
                <c:pt idx="10">
                  <c:v>12737657.4839094</c:v>
                </c:pt>
                <c:pt idx="11">
                  <c:v>12563421.882622199</c:v>
                </c:pt>
                <c:pt idx="12">
                  <c:v>12375247.433232</c:v>
                </c:pt>
                <c:pt idx="13">
                  <c:v>12172019.0278905</c:v>
                </c:pt>
                <c:pt idx="14">
                  <c:v>11952532.3501218</c:v>
                </c:pt>
                <c:pt idx="15">
                  <c:v>11715486.738131501</c:v>
                </c:pt>
                <c:pt idx="16">
                  <c:v>11459477.477182001</c:v>
                </c:pt>
                <c:pt idx="17">
                  <c:v>11182987.475356599</c:v>
                </c:pt>
                <c:pt idx="18">
                  <c:v>10884378.2733851</c:v>
                </c:pt>
                <c:pt idx="19">
                  <c:v>10561880.335255999</c:v>
                </c:pt>
                <c:pt idx="20">
                  <c:v>10213582.562076399</c:v>
                </c:pt>
                <c:pt idx="21">
                  <c:v>9837420.9670425393</c:v>
                </c:pt>
                <c:pt idx="22">
                  <c:v>9431166.4444059506</c:v>
                </c:pt>
                <c:pt idx="23">
                  <c:v>8992411.5599584207</c:v>
                </c:pt>
                <c:pt idx="24">
                  <c:v>8518556.2847550996</c:v>
                </c:pt>
                <c:pt idx="25">
                  <c:v>8006792.5875355098</c:v>
                </c:pt>
                <c:pt idx="26">
                  <c:v>7454087.7945383498</c:v>
                </c:pt>
                <c:pt idx="27">
                  <c:v>6857166.6181014096</c:v>
                </c:pt>
                <c:pt idx="28">
                  <c:v>6212491.7475495301</c:v>
                </c:pt>
                <c:pt idx="29">
                  <c:v>5516242.8873534901</c:v>
                </c:pt>
                <c:pt idx="30">
                  <c:v>4764294.11834177</c:v>
                </c:pt>
                <c:pt idx="31">
                  <c:v>3952189.4478091099</c:v>
                </c:pt>
                <c:pt idx="32">
                  <c:v>3075116.4036338399</c:v>
                </c:pt>
                <c:pt idx="33">
                  <c:v>2127877.5159245399</c:v>
                </c:pt>
                <c:pt idx="34">
                  <c:v>1104859.51719851</c:v>
                </c:pt>
                <c:pt idx="35">
                  <c:v>7.8574388055130798E-2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054-4BF8-8C9F-621CEF4D5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2482271"/>
        <c:axId val="46700095"/>
      </c:lineChart>
      <c:catAx>
        <c:axId val="2482271"/>
        <c:scaling>
          <c:orientation val="minMax"/>
        </c:scaling>
        <c:delete val="0"/>
        <c:axPos val="b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0095"/>
        <c:crosses val="autoZero"/>
        <c:auto val="1"/>
        <c:lblAlgn val="ctr"/>
        <c:lblOffset val="100"/>
        <c:noMultiLvlLbl val="0"/>
      </c:catAx>
      <c:valAx>
        <c:axId val="4670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Balance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,,\M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2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219075</xdr:colOff>
      <xdr:row>2</xdr:row>
      <xdr:rowOff>19050</xdr:rowOff>
    </xdr:from>
    <xdr:to>
      <xdr:col>8</xdr:col>
      <xdr:colOff>771525</xdr:colOff>
      <xdr:row>24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22239C-2011-4A05-8B85-AB722797CE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luce\Downloads\bobby-bonilla-model%20(1).xlsx" TargetMode="External"/><Relationship Id="rId1" Type="http://schemas.openxmlformats.org/officeDocument/2006/relationships/externalLinkPath" Target="file:///C:\Users\pluce\Downloads\bobby-bonilla-model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bby's Deal"/>
      <sheetName val="Run Your Own"/>
      <sheetName val="Capital Investment"/>
      <sheetName val="Notes"/>
    </sheetNames>
    <sheetDataSet>
      <sheetData sheetId="0">
        <row r="28">
          <cell r="E28" t="str">
            <v>Closing balance</v>
          </cell>
        </row>
        <row r="29">
          <cell r="A29">
            <v>2000</v>
          </cell>
          <cell r="E29">
            <v>5900000</v>
          </cell>
        </row>
        <row r="30">
          <cell r="A30">
            <v>2001</v>
          </cell>
          <cell r="E30">
            <v>6372000</v>
          </cell>
        </row>
        <row r="31">
          <cell r="A31">
            <v>2002</v>
          </cell>
          <cell r="E31">
            <v>6881760</v>
          </cell>
        </row>
        <row r="32">
          <cell r="A32">
            <v>2003</v>
          </cell>
          <cell r="E32">
            <v>7432300.7999999998</v>
          </cell>
        </row>
        <row r="33">
          <cell r="A33">
            <v>2004</v>
          </cell>
          <cell r="E33">
            <v>8026884.8640000001</v>
          </cell>
        </row>
        <row r="34">
          <cell r="A34">
            <v>2005</v>
          </cell>
          <cell r="E34">
            <v>8669035.6531199999</v>
          </cell>
        </row>
        <row r="35">
          <cell r="A35">
            <v>2006</v>
          </cell>
          <cell r="E35">
            <v>9362558.5053695999</v>
          </cell>
        </row>
        <row r="36">
          <cell r="A36">
            <v>2007</v>
          </cell>
          <cell r="E36">
            <v>10111563.1857992</v>
          </cell>
        </row>
        <row r="37">
          <cell r="A37">
            <v>2008</v>
          </cell>
          <cell r="E37">
            <v>10920488.2406631</v>
          </cell>
        </row>
        <row r="38">
          <cell r="A38">
            <v>2009</v>
          </cell>
          <cell r="E38">
            <v>11794127.2999162</v>
          </cell>
        </row>
        <row r="39">
          <cell r="A39">
            <v>2010</v>
          </cell>
          <cell r="E39">
            <v>12737657.4839094</v>
          </cell>
        </row>
        <row r="40">
          <cell r="A40">
            <v>2011</v>
          </cell>
          <cell r="E40">
            <v>12563421.882622199</v>
          </cell>
        </row>
        <row r="41">
          <cell r="A41">
            <v>2012</v>
          </cell>
          <cell r="E41">
            <v>12375247.433232</v>
          </cell>
        </row>
        <row r="42">
          <cell r="A42">
            <v>2013</v>
          </cell>
          <cell r="E42">
            <v>12172019.0278905</v>
          </cell>
        </row>
        <row r="43">
          <cell r="A43">
            <v>2014</v>
          </cell>
          <cell r="E43">
            <v>11952532.3501218</v>
          </cell>
        </row>
        <row r="44">
          <cell r="A44">
            <v>2015</v>
          </cell>
          <cell r="E44">
            <v>11715486.738131501</v>
          </cell>
        </row>
        <row r="45">
          <cell r="A45">
            <v>2016</v>
          </cell>
          <cell r="E45">
            <v>11459477.477182001</v>
          </cell>
        </row>
        <row r="46">
          <cell r="A46">
            <v>2017</v>
          </cell>
          <cell r="E46">
            <v>11182987.475356599</v>
          </cell>
        </row>
        <row r="47">
          <cell r="A47">
            <v>2018</v>
          </cell>
          <cell r="E47">
            <v>10884378.2733851</v>
          </cell>
        </row>
        <row r="48">
          <cell r="A48">
            <v>2019</v>
          </cell>
          <cell r="E48">
            <v>10561880.335255999</v>
          </cell>
        </row>
        <row r="49">
          <cell r="A49">
            <v>2020</v>
          </cell>
          <cell r="E49">
            <v>10213582.562076399</v>
          </cell>
        </row>
        <row r="50">
          <cell r="A50">
            <v>2021</v>
          </cell>
          <cell r="E50">
            <v>9837420.9670425393</v>
          </cell>
        </row>
        <row r="51">
          <cell r="A51">
            <v>2022</v>
          </cell>
          <cell r="E51">
            <v>9431166.4444059506</v>
          </cell>
        </row>
        <row r="52">
          <cell r="A52">
            <v>2023</v>
          </cell>
          <cell r="E52">
            <v>8992411.5599584207</v>
          </cell>
        </row>
        <row r="53">
          <cell r="A53">
            <v>2024</v>
          </cell>
          <cell r="E53">
            <v>8518556.2847550996</v>
          </cell>
        </row>
        <row r="54">
          <cell r="A54">
            <v>2025</v>
          </cell>
          <cell r="E54">
            <v>8006792.5875355098</v>
          </cell>
        </row>
        <row r="55">
          <cell r="A55">
            <v>2026</v>
          </cell>
          <cell r="E55">
            <v>7454087.7945383498</v>
          </cell>
        </row>
        <row r="56">
          <cell r="A56">
            <v>2027</v>
          </cell>
          <cell r="E56">
            <v>6857166.6181014096</v>
          </cell>
        </row>
        <row r="57">
          <cell r="A57">
            <v>2028</v>
          </cell>
          <cell r="E57">
            <v>6212491.7475495301</v>
          </cell>
        </row>
        <row r="58">
          <cell r="A58">
            <v>2029</v>
          </cell>
          <cell r="E58">
            <v>5516242.8873534901</v>
          </cell>
        </row>
        <row r="59">
          <cell r="A59">
            <v>2030</v>
          </cell>
          <cell r="E59">
            <v>4764294.11834177</v>
          </cell>
        </row>
        <row r="60">
          <cell r="A60">
            <v>2031</v>
          </cell>
          <cell r="E60">
            <v>3952189.4478091099</v>
          </cell>
        </row>
        <row r="61">
          <cell r="A61">
            <v>2032</v>
          </cell>
          <cell r="E61">
            <v>3075116.4036338399</v>
          </cell>
        </row>
        <row r="62">
          <cell r="A62">
            <v>2033</v>
          </cell>
          <cell r="E62">
            <v>2127877.5159245399</v>
          </cell>
        </row>
        <row r="63">
          <cell r="A63">
            <v>2034</v>
          </cell>
          <cell r="E63">
            <v>1104859.51719851</v>
          </cell>
        </row>
        <row r="64">
          <cell r="A64">
            <v>2035</v>
          </cell>
          <cell r="E64">
            <v>7.8574388055130798E-2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9D678-E173-4A88-AA24-B851F76FB3D8}">
  <dimension ref="A1:I64"/>
  <sheetViews>
    <sheetView showGridLines="0" tabSelected="1" zoomScaleNormal="100" workbookViewId="0">
      <selection activeCell="N17" sqref="N17"/>
    </sheetView>
  </sheetViews>
  <sheetFormatPr defaultColWidth="8.7109375" defaultRowHeight="15" x14ac:dyDescent="0.25"/>
  <cols>
    <col min="1" max="1" width="33" customWidth="1"/>
    <col min="2" max="2" width="14.7109375" bestFit="1" customWidth="1"/>
    <col min="3" max="4" width="10.140625" bestFit="1" customWidth="1"/>
    <col min="5" max="5" width="14" bestFit="1" customWidth="1"/>
    <col min="6" max="6" width="15.140625" bestFit="1" customWidth="1"/>
    <col min="7" max="7" width="12.7109375" bestFit="1" customWidth="1"/>
    <col min="8" max="8" width="16.42578125" bestFit="1" customWidth="1"/>
    <col min="9" max="9" width="18.85546875" bestFit="1" customWidth="1"/>
  </cols>
  <sheetData>
    <row r="1" spans="1:9" ht="24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3" t="s">
        <v>1</v>
      </c>
    </row>
    <row r="4" spans="1:9" x14ac:dyDescent="0.25">
      <c r="A4" s="4" t="s">
        <v>2</v>
      </c>
      <c r="B4" s="5"/>
    </row>
    <row r="5" spans="1:9" x14ac:dyDescent="0.25">
      <c r="A5" s="6" t="s">
        <v>3</v>
      </c>
      <c r="B5" s="7">
        <v>5900000</v>
      </c>
    </row>
    <row r="6" spans="1:9" x14ac:dyDescent="0.25">
      <c r="A6" s="6" t="s">
        <v>4</v>
      </c>
      <c r="B6" s="8">
        <v>1193248.2</v>
      </c>
    </row>
    <row r="7" spans="1:9" x14ac:dyDescent="0.25">
      <c r="A7" s="6" t="s">
        <v>5</v>
      </c>
      <c r="B7" s="9">
        <v>2011</v>
      </c>
    </row>
    <row r="8" spans="1:9" x14ac:dyDescent="0.25">
      <c r="A8" s="6" t="s">
        <v>6</v>
      </c>
      <c r="B8" s="9">
        <v>2035</v>
      </c>
    </row>
    <row r="9" spans="1:9" x14ac:dyDescent="0.25">
      <c r="A9" s="6" t="s">
        <v>7</v>
      </c>
      <c r="B9" s="9">
        <v>2000</v>
      </c>
    </row>
    <row r="10" spans="1:9" x14ac:dyDescent="0.25">
      <c r="A10" s="6" t="s">
        <v>8</v>
      </c>
      <c r="B10" s="10">
        <f ca="1">B8-B7+1</f>
        <v>25</v>
      </c>
    </row>
    <row r="11" spans="1:9" x14ac:dyDescent="0.25">
      <c r="A11" s="6" t="s">
        <v>9</v>
      </c>
      <c r="B11" s="11">
        <f ca="1">B6*B10</f>
        <v>29831205</v>
      </c>
    </row>
    <row r="13" spans="1:9" x14ac:dyDescent="0.25">
      <c r="A13" s="4" t="s">
        <v>10</v>
      </c>
      <c r="B13" s="5"/>
    </row>
    <row r="14" spans="1:9" x14ac:dyDescent="0.25">
      <c r="A14" s="6" t="s">
        <v>11</v>
      </c>
      <c r="B14" s="12">
        <v>0.08</v>
      </c>
    </row>
    <row r="15" spans="1:9" x14ac:dyDescent="0.25">
      <c r="A15" s="6" t="s">
        <v>12</v>
      </c>
      <c r="B15" s="12">
        <v>2.5000000000000001E-2</v>
      </c>
    </row>
    <row r="17" spans="1:9" x14ac:dyDescent="0.25">
      <c r="A17" s="4" t="s">
        <v>13</v>
      </c>
      <c r="B17" s="5"/>
    </row>
    <row r="18" spans="1:9" x14ac:dyDescent="0.25">
      <c r="A18" s="6" t="s">
        <v>14</v>
      </c>
      <c r="B18" s="11">
        <f ca="1">SUM(G29:G64)</f>
        <v>5899999.9946856499</v>
      </c>
    </row>
    <row r="19" spans="1:9" x14ac:dyDescent="0.25">
      <c r="A19" s="6" t="s">
        <v>15</v>
      </c>
      <c r="B19" s="11">
        <f ca="1">B5</f>
        <v>5900000</v>
      </c>
    </row>
    <row r="20" spans="1:9" x14ac:dyDescent="0.25">
      <c r="A20" s="6" t="s">
        <v>16</v>
      </c>
      <c r="B20" s="11">
        <f ca="1">B19-B18</f>
        <v>5.3143464028835297E-3</v>
      </c>
    </row>
    <row r="21" spans="1:9" x14ac:dyDescent="0.25">
      <c r="A21" s="13" t="s">
        <v>17</v>
      </c>
      <c r="B21" s="14" t="str">
        <f ca="1">IF(ABS(B20)&lt;25000,"A wash",IF(B20&gt;0,"Deferring won","Deferring lost"))</f>
        <v>A wash</v>
      </c>
    </row>
    <row r="22" spans="1:9" x14ac:dyDescent="0.25">
      <c r="A22" s="6" t="s">
        <v>18</v>
      </c>
      <c r="B22" s="11">
        <f ca="1">E64</f>
        <v>7.8574388055130798E-2</v>
      </c>
    </row>
    <row r="23" spans="1:9" x14ac:dyDescent="0.25">
      <c r="A23" s="6" t="s">
        <v>19</v>
      </c>
      <c r="B23" s="11">
        <f ca="1">B6/(1+B15)^(B8-B7)</f>
        <v>659717.52120622504</v>
      </c>
    </row>
    <row r="24" spans="1:9" x14ac:dyDescent="0.25">
      <c r="A24" s="6" t="s">
        <v>20</v>
      </c>
      <c r="B24" s="11">
        <f ca="1">SUM(I29:I64)</f>
        <v>22534475.3517511</v>
      </c>
    </row>
    <row r="28" spans="1:9" ht="30" customHeight="1" x14ac:dyDescent="0.25">
      <c r="A28" s="15" t="s">
        <v>21</v>
      </c>
      <c r="B28" s="15" t="s">
        <v>22</v>
      </c>
      <c r="C28" s="15" t="s">
        <v>23</v>
      </c>
      <c r="D28" s="15" t="s">
        <v>24</v>
      </c>
      <c r="E28" s="15" t="s">
        <v>25</v>
      </c>
      <c r="F28" s="15" t="s">
        <v>26</v>
      </c>
      <c r="G28" s="15" t="s">
        <v>27</v>
      </c>
      <c r="H28" s="15" t="s">
        <v>28</v>
      </c>
      <c r="I28" s="15" t="s">
        <v>29</v>
      </c>
    </row>
    <row r="29" spans="1:9" x14ac:dyDescent="0.25">
      <c r="A29" s="16">
        <v>2000</v>
      </c>
      <c r="B29" s="17"/>
      <c r="C29" s="18">
        <v>0</v>
      </c>
      <c r="D29" s="18">
        <f t="shared" ref="D29:D64" ca="1" si="0">IF(AND(A29&gt;=$B$7,A29&lt;=$B$8),$B$6,0)</f>
        <v>0</v>
      </c>
      <c r="E29" s="18">
        <f ca="1">$B$5</f>
        <v>5900000</v>
      </c>
      <c r="F29" s="19">
        <f t="shared" ref="F29:F64" ca="1" si="1">1/(1+$B$14)^(A29-$B$9)</f>
        <v>1</v>
      </c>
      <c r="G29" s="18">
        <f t="shared" ref="G29:G64" ca="1" si="2">D29*F29</f>
        <v>0</v>
      </c>
      <c r="H29" s="19">
        <f t="shared" ref="H29:H64" ca="1" si="3">IF(A29&gt;=$B$7,1/(1+$B$15)^(A29-$B$7),0)</f>
        <v>0</v>
      </c>
      <c r="I29" s="18">
        <f t="shared" ref="I29:I64" ca="1" si="4">D29*H29</f>
        <v>0</v>
      </c>
    </row>
    <row r="30" spans="1:9" x14ac:dyDescent="0.25">
      <c r="A30" s="16">
        <f t="shared" ref="A30:A64" ca="1" si="5">A29+1</f>
        <v>2001</v>
      </c>
      <c r="B30" s="18">
        <f t="shared" ref="B30:B64" ca="1" si="6">E29</f>
        <v>5900000</v>
      </c>
      <c r="C30" s="18">
        <f t="shared" ref="C30:C64" ca="1" si="7">$B$14*B30</f>
        <v>472000</v>
      </c>
      <c r="D30" s="18">
        <f t="shared" ca="1" si="0"/>
        <v>0</v>
      </c>
      <c r="E30" s="18">
        <f t="shared" ref="E30:E64" ca="1" si="8">B30+C30-D30</f>
        <v>6372000</v>
      </c>
      <c r="F30" s="19">
        <f t="shared" ca="1" si="1"/>
        <v>0.92592592592592604</v>
      </c>
      <c r="G30" s="18">
        <f t="shared" ca="1" si="2"/>
        <v>0</v>
      </c>
      <c r="H30" s="19">
        <f t="shared" ca="1" si="3"/>
        <v>0</v>
      </c>
      <c r="I30" s="18">
        <f t="shared" ca="1" si="4"/>
        <v>0</v>
      </c>
    </row>
    <row r="31" spans="1:9" x14ac:dyDescent="0.25">
      <c r="A31" s="16">
        <f t="shared" ca="1" si="5"/>
        <v>2002</v>
      </c>
      <c r="B31" s="18">
        <f t="shared" ca="1" si="6"/>
        <v>6372000</v>
      </c>
      <c r="C31" s="18">
        <f t="shared" ca="1" si="7"/>
        <v>509760</v>
      </c>
      <c r="D31" s="18">
        <f t="shared" ca="1" si="0"/>
        <v>0</v>
      </c>
      <c r="E31" s="18">
        <f t="shared" ca="1" si="8"/>
        <v>6881760</v>
      </c>
      <c r="F31" s="19">
        <f t="shared" ca="1" si="1"/>
        <v>0.85733882030178299</v>
      </c>
      <c r="G31" s="18">
        <f t="shared" ca="1" si="2"/>
        <v>0</v>
      </c>
      <c r="H31" s="19">
        <f t="shared" ca="1" si="3"/>
        <v>0</v>
      </c>
      <c r="I31" s="18">
        <f t="shared" ca="1" si="4"/>
        <v>0</v>
      </c>
    </row>
    <row r="32" spans="1:9" x14ac:dyDescent="0.25">
      <c r="A32" s="16">
        <f t="shared" ca="1" si="5"/>
        <v>2003</v>
      </c>
      <c r="B32" s="18">
        <f t="shared" ca="1" si="6"/>
        <v>6881760</v>
      </c>
      <c r="C32" s="18">
        <f t="shared" ca="1" si="7"/>
        <v>550540.80000000005</v>
      </c>
      <c r="D32" s="18">
        <f t="shared" ca="1" si="0"/>
        <v>0</v>
      </c>
      <c r="E32" s="18">
        <f t="shared" ca="1" si="8"/>
        <v>7432300.7999999998</v>
      </c>
      <c r="F32" s="19">
        <f t="shared" ca="1" si="1"/>
        <v>0.79383224102017003</v>
      </c>
      <c r="G32" s="18">
        <f t="shared" ca="1" si="2"/>
        <v>0</v>
      </c>
      <c r="H32" s="19">
        <f t="shared" ca="1" si="3"/>
        <v>0</v>
      </c>
      <c r="I32" s="18">
        <f t="shared" ca="1" si="4"/>
        <v>0</v>
      </c>
    </row>
    <row r="33" spans="1:9" x14ac:dyDescent="0.25">
      <c r="A33" s="16">
        <f t="shared" ca="1" si="5"/>
        <v>2004</v>
      </c>
      <c r="B33" s="18">
        <f t="shared" ca="1" si="6"/>
        <v>7432300.7999999998</v>
      </c>
      <c r="C33" s="18">
        <f t="shared" ca="1" si="7"/>
        <v>594584.06400000001</v>
      </c>
      <c r="D33" s="18">
        <f t="shared" ca="1" si="0"/>
        <v>0</v>
      </c>
      <c r="E33" s="18">
        <f t="shared" ca="1" si="8"/>
        <v>8026884.8640000001</v>
      </c>
      <c r="F33" s="19">
        <f t="shared" ca="1" si="1"/>
        <v>0.73502985279645305</v>
      </c>
      <c r="G33" s="18">
        <f t="shared" ca="1" si="2"/>
        <v>0</v>
      </c>
      <c r="H33" s="19">
        <f t="shared" ca="1" si="3"/>
        <v>0</v>
      </c>
      <c r="I33" s="18">
        <f t="shared" ca="1" si="4"/>
        <v>0</v>
      </c>
    </row>
    <row r="34" spans="1:9" x14ac:dyDescent="0.25">
      <c r="A34" s="16">
        <f t="shared" ca="1" si="5"/>
        <v>2005</v>
      </c>
      <c r="B34" s="18">
        <f t="shared" ca="1" si="6"/>
        <v>8026884.8640000001</v>
      </c>
      <c r="C34" s="18">
        <f t="shared" ca="1" si="7"/>
        <v>642150.78911999997</v>
      </c>
      <c r="D34" s="18">
        <f t="shared" ca="1" si="0"/>
        <v>0</v>
      </c>
      <c r="E34" s="18">
        <f t="shared" ca="1" si="8"/>
        <v>8669035.6531199999</v>
      </c>
      <c r="F34" s="19">
        <f t="shared" ca="1" si="1"/>
        <v>0.68058319703375303</v>
      </c>
      <c r="G34" s="18">
        <f t="shared" ca="1" si="2"/>
        <v>0</v>
      </c>
      <c r="H34" s="19">
        <f t="shared" ca="1" si="3"/>
        <v>0</v>
      </c>
      <c r="I34" s="18">
        <f t="shared" ca="1" si="4"/>
        <v>0</v>
      </c>
    </row>
    <row r="35" spans="1:9" x14ac:dyDescent="0.25">
      <c r="A35" s="16">
        <f t="shared" ca="1" si="5"/>
        <v>2006</v>
      </c>
      <c r="B35" s="18">
        <f t="shared" ca="1" si="6"/>
        <v>8669035.6531199999</v>
      </c>
      <c r="C35" s="18">
        <f t="shared" ca="1" si="7"/>
        <v>693522.85224959999</v>
      </c>
      <c r="D35" s="18">
        <f t="shared" ca="1" si="0"/>
        <v>0</v>
      </c>
      <c r="E35" s="18">
        <f t="shared" ca="1" si="8"/>
        <v>9362558.5053695999</v>
      </c>
      <c r="F35" s="19">
        <f t="shared" ca="1" si="1"/>
        <v>0.63016962688310496</v>
      </c>
      <c r="G35" s="18">
        <f t="shared" ca="1" si="2"/>
        <v>0</v>
      </c>
      <c r="H35" s="19">
        <f t="shared" ca="1" si="3"/>
        <v>0</v>
      </c>
      <c r="I35" s="18">
        <f t="shared" ca="1" si="4"/>
        <v>0</v>
      </c>
    </row>
    <row r="36" spans="1:9" x14ac:dyDescent="0.25">
      <c r="A36" s="16">
        <f t="shared" ca="1" si="5"/>
        <v>2007</v>
      </c>
      <c r="B36" s="18">
        <f t="shared" ca="1" si="6"/>
        <v>9362558.5053695999</v>
      </c>
      <c r="C36" s="18">
        <f t="shared" ca="1" si="7"/>
        <v>749004.68042956805</v>
      </c>
      <c r="D36" s="18">
        <f t="shared" ca="1" si="0"/>
        <v>0</v>
      </c>
      <c r="E36" s="18">
        <f t="shared" ca="1" si="8"/>
        <v>10111563.1857992</v>
      </c>
      <c r="F36" s="19">
        <f t="shared" ca="1" si="1"/>
        <v>0.58349039526213398</v>
      </c>
      <c r="G36" s="18">
        <f t="shared" ca="1" si="2"/>
        <v>0</v>
      </c>
      <c r="H36" s="19">
        <f t="shared" ca="1" si="3"/>
        <v>0</v>
      </c>
      <c r="I36" s="18">
        <f t="shared" ca="1" si="4"/>
        <v>0</v>
      </c>
    </row>
    <row r="37" spans="1:9" x14ac:dyDescent="0.25">
      <c r="A37" s="16">
        <f t="shared" ca="1" si="5"/>
        <v>2008</v>
      </c>
      <c r="B37" s="18">
        <f t="shared" ca="1" si="6"/>
        <v>10111563.1857992</v>
      </c>
      <c r="C37" s="18">
        <f t="shared" ca="1" si="7"/>
        <v>808925.05486393406</v>
      </c>
      <c r="D37" s="18">
        <f t="shared" ca="1" si="0"/>
        <v>0</v>
      </c>
      <c r="E37" s="18">
        <f t="shared" ca="1" si="8"/>
        <v>10920488.2406631</v>
      </c>
      <c r="F37" s="19">
        <f t="shared" ca="1" si="1"/>
        <v>0.54026888450197597</v>
      </c>
      <c r="G37" s="18">
        <f t="shared" ca="1" si="2"/>
        <v>0</v>
      </c>
      <c r="H37" s="19">
        <f t="shared" ca="1" si="3"/>
        <v>0</v>
      </c>
      <c r="I37" s="18">
        <f t="shared" ca="1" si="4"/>
        <v>0</v>
      </c>
    </row>
    <row r="38" spans="1:9" x14ac:dyDescent="0.25">
      <c r="A38" s="16">
        <f t="shared" ca="1" si="5"/>
        <v>2009</v>
      </c>
      <c r="B38" s="18">
        <f t="shared" ca="1" si="6"/>
        <v>10920488.2406631</v>
      </c>
      <c r="C38" s="18">
        <f t="shared" ca="1" si="7"/>
        <v>873639.05925304804</v>
      </c>
      <c r="D38" s="18">
        <f t="shared" ca="1" si="0"/>
        <v>0</v>
      </c>
      <c r="E38" s="18">
        <f t="shared" ca="1" si="8"/>
        <v>11794127.2999162</v>
      </c>
      <c r="F38" s="19">
        <f t="shared" ca="1" si="1"/>
        <v>0.50024896713145905</v>
      </c>
      <c r="G38" s="18">
        <f t="shared" ca="1" si="2"/>
        <v>0</v>
      </c>
      <c r="H38" s="19">
        <f t="shared" ca="1" si="3"/>
        <v>0</v>
      </c>
      <c r="I38" s="18">
        <f t="shared" ca="1" si="4"/>
        <v>0</v>
      </c>
    </row>
    <row r="39" spans="1:9" x14ac:dyDescent="0.25">
      <c r="A39" s="16">
        <f t="shared" ca="1" si="5"/>
        <v>2010</v>
      </c>
      <c r="B39" s="18">
        <f t="shared" ca="1" si="6"/>
        <v>11794127.2999162</v>
      </c>
      <c r="C39" s="18">
        <f t="shared" ca="1" si="7"/>
        <v>943530.18399329204</v>
      </c>
      <c r="D39" s="18">
        <f t="shared" ca="1" si="0"/>
        <v>0</v>
      </c>
      <c r="E39" s="18">
        <f t="shared" ca="1" si="8"/>
        <v>12737657.4839094</v>
      </c>
      <c r="F39" s="19">
        <f t="shared" ca="1" si="1"/>
        <v>0.46319348808468402</v>
      </c>
      <c r="G39" s="18">
        <f t="shared" ca="1" si="2"/>
        <v>0</v>
      </c>
      <c r="H39" s="19">
        <f t="shared" ca="1" si="3"/>
        <v>0</v>
      </c>
      <c r="I39" s="18">
        <f t="shared" ca="1" si="4"/>
        <v>0</v>
      </c>
    </row>
    <row r="40" spans="1:9" x14ac:dyDescent="0.25">
      <c r="A40" s="16">
        <f t="shared" ca="1" si="5"/>
        <v>2011</v>
      </c>
      <c r="B40" s="18">
        <f t="shared" ca="1" si="6"/>
        <v>12737657.4839094</v>
      </c>
      <c r="C40" s="18">
        <f t="shared" ca="1" si="7"/>
        <v>1019012.59871276</v>
      </c>
      <c r="D40" s="18">
        <f t="shared" ca="1" si="0"/>
        <v>1193248.2</v>
      </c>
      <c r="E40" s="18">
        <f t="shared" ca="1" si="8"/>
        <v>12563421.882622199</v>
      </c>
      <c r="F40" s="19">
        <f t="shared" ca="1" si="1"/>
        <v>0.42888285933767101</v>
      </c>
      <c r="G40" s="18">
        <f t="shared" ca="1" si="2"/>
        <v>511763.699915529</v>
      </c>
      <c r="H40" s="19">
        <f t="shared" ca="1" si="3"/>
        <v>1</v>
      </c>
      <c r="I40" s="18">
        <f t="shared" ca="1" si="4"/>
        <v>1193248.2</v>
      </c>
    </row>
    <row r="41" spans="1:9" x14ac:dyDescent="0.25">
      <c r="A41" s="16">
        <f t="shared" ca="1" si="5"/>
        <v>2012</v>
      </c>
      <c r="B41" s="18">
        <f t="shared" ca="1" si="6"/>
        <v>12563421.882622199</v>
      </c>
      <c r="C41" s="18">
        <f t="shared" ca="1" si="7"/>
        <v>1005073.75060978</v>
      </c>
      <c r="D41" s="18">
        <f t="shared" ca="1" si="0"/>
        <v>1193248.2</v>
      </c>
      <c r="E41" s="18">
        <f t="shared" ca="1" si="8"/>
        <v>12375247.433232</v>
      </c>
      <c r="F41" s="19">
        <f t="shared" ca="1" si="1"/>
        <v>0.39711375864599102</v>
      </c>
      <c r="G41" s="18">
        <f t="shared" ca="1" si="2"/>
        <v>473855.27769956301</v>
      </c>
      <c r="H41" s="19">
        <f t="shared" ca="1" si="3"/>
        <v>0.97560975609756095</v>
      </c>
      <c r="I41" s="18">
        <f t="shared" ca="1" si="4"/>
        <v>1164144.58536585</v>
      </c>
    </row>
    <row r="42" spans="1:9" x14ac:dyDescent="0.25">
      <c r="A42" s="16">
        <f t="shared" ca="1" si="5"/>
        <v>2013</v>
      </c>
      <c r="B42" s="18">
        <f t="shared" ca="1" si="6"/>
        <v>12375247.433232</v>
      </c>
      <c r="C42" s="18">
        <f t="shared" ca="1" si="7"/>
        <v>990019.79465855798</v>
      </c>
      <c r="D42" s="18">
        <f t="shared" ca="1" si="0"/>
        <v>1193248.2</v>
      </c>
      <c r="E42" s="18">
        <f t="shared" ca="1" si="8"/>
        <v>12172019.0278905</v>
      </c>
      <c r="F42" s="19">
        <f t="shared" ca="1" si="1"/>
        <v>0.36769792467221402</v>
      </c>
      <c r="G42" s="18">
        <f t="shared" ca="1" si="2"/>
        <v>438754.88675885502</v>
      </c>
      <c r="H42" s="19">
        <f t="shared" ca="1" si="3"/>
        <v>0.951814396192742</v>
      </c>
      <c r="I42" s="18">
        <f t="shared" ca="1" si="4"/>
        <v>1135750.81499108</v>
      </c>
    </row>
    <row r="43" spans="1:9" x14ac:dyDescent="0.25">
      <c r="A43" s="16">
        <f t="shared" ca="1" si="5"/>
        <v>2014</v>
      </c>
      <c r="B43" s="18">
        <f t="shared" ca="1" si="6"/>
        <v>12172019.0278905</v>
      </c>
      <c r="C43" s="18">
        <f t="shared" ca="1" si="7"/>
        <v>973761.52223124297</v>
      </c>
      <c r="D43" s="18">
        <f t="shared" ca="1" si="0"/>
        <v>1193248.2</v>
      </c>
      <c r="E43" s="18">
        <f t="shared" ca="1" si="8"/>
        <v>11952532.3501218</v>
      </c>
      <c r="F43" s="19">
        <f t="shared" ca="1" si="1"/>
        <v>0.34046104136316102</v>
      </c>
      <c r="G43" s="18">
        <f t="shared" ca="1" si="2"/>
        <v>406254.524776718</v>
      </c>
      <c r="H43" s="19">
        <f t="shared" ca="1" si="3"/>
        <v>0.92859941091974896</v>
      </c>
      <c r="I43" s="18">
        <f t="shared" ca="1" si="4"/>
        <v>1108049.5756010499</v>
      </c>
    </row>
    <row r="44" spans="1:9" x14ac:dyDescent="0.25">
      <c r="A44" s="16">
        <f t="shared" ca="1" si="5"/>
        <v>2015</v>
      </c>
      <c r="B44" s="18">
        <f t="shared" ca="1" si="6"/>
        <v>11952532.3501218</v>
      </c>
      <c r="C44" s="18">
        <f t="shared" ca="1" si="7"/>
        <v>956202.58800974197</v>
      </c>
      <c r="D44" s="18">
        <f t="shared" ca="1" si="0"/>
        <v>1193248.2</v>
      </c>
      <c r="E44" s="18">
        <f t="shared" ca="1" si="8"/>
        <v>11715486.738131501</v>
      </c>
      <c r="F44" s="19">
        <f t="shared" ca="1" si="1"/>
        <v>0.31524170496588999</v>
      </c>
      <c r="G44" s="18">
        <f t="shared" ca="1" si="2"/>
        <v>376161.597015479</v>
      </c>
      <c r="H44" s="19">
        <f t="shared" ca="1" si="3"/>
        <v>0.90595064479975496</v>
      </c>
      <c r="I44" s="18">
        <f t="shared" ca="1" si="4"/>
        <v>1081023.9761961501</v>
      </c>
    </row>
    <row r="45" spans="1:9" x14ac:dyDescent="0.25">
      <c r="A45" s="16">
        <f t="shared" ca="1" si="5"/>
        <v>2016</v>
      </c>
      <c r="B45" s="18">
        <f t="shared" ca="1" si="6"/>
        <v>11715486.738131501</v>
      </c>
      <c r="C45" s="18">
        <f t="shared" ca="1" si="7"/>
        <v>937238.93905052205</v>
      </c>
      <c r="D45" s="18">
        <f t="shared" ca="1" si="0"/>
        <v>1193248.2</v>
      </c>
      <c r="E45" s="18">
        <f t="shared" ca="1" si="8"/>
        <v>11459477.477182001</v>
      </c>
      <c r="F45" s="19">
        <f t="shared" ca="1" si="1"/>
        <v>0.291890467561009</v>
      </c>
      <c r="G45" s="18">
        <f t="shared" ca="1" si="2"/>
        <v>348297.77501433302</v>
      </c>
      <c r="H45" s="19">
        <f t="shared" ca="1" si="3"/>
        <v>0.88385428760951701</v>
      </c>
      <c r="I45" s="18">
        <f t="shared" ca="1" si="4"/>
        <v>1054657.5377523401</v>
      </c>
    </row>
    <row r="46" spans="1:9" x14ac:dyDescent="0.25">
      <c r="A46" s="16">
        <f t="shared" ca="1" si="5"/>
        <v>2017</v>
      </c>
      <c r="B46" s="18">
        <f t="shared" ca="1" si="6"/>
        <v>11459477.477182001</v>
      </c>
      <c r="C46" s="18">
        <f t="shared" ca="1" si="7"/>
        <v>916758.19817456405</v>
      </c>
      <c r="D46" s="18">
        <f t="shared" ca="1" si="0"/>
        <v>1193248.2</v>
      </c>
      <c r="E46" s="18">
        <f t="shared" ca="1" si="8"/>
        <v>11182987.475356599</v>
      </c>
      <c r="F46" s="19">
        <f t="shared" ca="1" si="1"/>
        <v>0.27026895144537899</v>
      </c>
      <c r="G46" s="18">
        <f t="shared" ca="1" si="2"/>
        <v>322497.939828086</v>
      </c>
      <c r="H46" s="19">
        <f t="shared" ca="1" si="3"/>
        <v>0.86229686596050503</v>
      </c>
      <c r="I46" s="18">
        <f t="shared" ca="1" si="4"/>
        <v>1028934.18317301</v>
      </c>
    </row>
    <row r="47" spans="1:9" x14ac:dyDescent="0.25">
      <c r="A47" s="16">
        <f t="shared" ca="1" si="5"/>
        <v>2018</v>
      </c>
      <c r="B47" s="18">
        <f t="shared" ca="1" si="6"/>
        <v>11182987.475356599</v>
      </c>
      <c r="C47" s="18">
        <f t="shared" ca="1" si="7"/>
        <v>894638.99802852899</v>
      </c>
      <c r="D47" s="18">
        <f t="shared" ca="1" si="0"/>
        <v>1193248.2</v>
      </c>
      <c r="E47" s="18">
        <f t="shared" ca="1" si="8"/>
        <v>10884378.2733851</v>
      </c>
      <c r="F47" s="19">
        <f t="shared" ca="1" si="1"/>
        <v>0.25024902911609198</v>
      </c>
      <c r="G47" s="18">
        <f t="shared" ca="1" si="2"/>
        <v>298609.20354452397</v>
      </c>
      <c r="H47" s="19">
        <f t="shared" ca="1" si="3"/>
        <v>0.84126523508341899</v>
      </c>
      <c r="I47" s="18">
        <f t="shared" ca="1" si="4"/>
        <v>1003838.22748587</v>
      </c>
    </row>
    <row r="48" spans="1:9" x14ac:dyDescent="0.25">
      <c r="A48" s="16">
        <f t="shared" ca="1" si="5"/>
        <v>2019</v>
      </c>
      <c r="B48" s="18">
        <f t="shared" ca="1" si="6"/>
        <v>10884378.2733851</v>
      </c>
      <c r="C48" s="18">
        <f t="shared" ca="1" si="7"/>
        <v>870750.26187081099</v>
      </c>
      <c r="D48" s="18">
        <f t="shared" ca="1" si="0"/>
        <v>1193248.2</v>
      </c>
      <c r="E48" s="18">
        <f t="shared" ca="1" si="8"/>
        <v>10561880.335255999</v>
      </c>
      <c r="F48" s="19">
        <f t="shared" ca="1" si="1"/>
        <v>0.231712063996381</v>
      </c>
      <c r="G48" s="18">
        <f t="shared" ca="1" si="2"/>
        <v>276490.00328196603</v>
      </c>
      <c r="H48" s="19">
        <f t="shared" ca="1" si="3"/>
        <v>0.82074657081309199</v>
      </c>
      <c r="I48" s="18">
        <f t="shared" ca="1" si="4"/>
        <v>979354.36827889504</v>
      </c>
    </row>
    <row r="49" spans="1:9" x14ac:dyDescent="0.25">
      <c r="A49" s="16">
        <f t="shared" ca="1" si="5"/>
        <v>2020</v>
      </c>
      <c r="B49" s="18">
        <f t="shared" ca="1" si="6"/>
        <v>10561880.335255999</v>
      </c>
      <c r="C49" s="18">
        <f t="shared" ca="1" si="7"/>
        <v>844950.42682047596</v>
      </c>
      <c r="D49" s="18">
        <f t="shared" ca="1" si="0"/>
        <v>1193248.2</v>
      </c>
      <c r="E49" s="18">
        <f t="shared" ca="1" si="8"/>
        <v>10213582.562076399</v>
      </c>
      <c r="F49" s="19">
        <f t="shared" ca="1" si="1"/>
        <v>0.214548207404056</v>
      </c>
      <c r="G49" s="18">
        <f t="shared" ca="1" si="2"/>
        <v>256009.26229811701</v>
      </c>
      <c r="H49" s="19">
        <f t="shared" ca="1" si="3"/>
        <v>0.80072836176886997</v>
      </c>
      <c r="I49" s="18">
        <f t="shared" ca="1" si="4"/>
        <v>955467.67636965297</v>
      </c>
    </row>
    <row r="50" spans="1:9" x14ac:dyDescent="0.25">
      <c r="A50" s="16">
        <f t="shared" ca="1" si="5"/>
        <v>2021</v>
      </c>
      <c r="B50" s="18">
        <f t="shared" ca="1" si="6"/>
        <v>10213582.562076399</v>
      </c>
      <c r="C50" s="18">
        <f t="shared" ca="1" si="7"/>
        <v>817086.60496611404</v>
      </c>
      <c r="D50" s="18">
        <f t="shared" ca="1" si="0"/>
        <v>1193248.2</v>
      </c>
      <c r="E50" s="18">
        <f t="shared" ca="1" si="8"/>
        <v>9837420.9670425393</v>
      </c>
      <c r="F50" s="19">
        <f t="shared" ca="1" si="1"/>
        <v>0.19865574759634899</v>
      </c>
      <c r="G50" s="18">
        <f t="shared" ca="1" si="2"/>
        <v>237045.613238997</v>
      </c>
      <c r="H50" s="19">
        <f t="shared" ca="1" si="3"/>
        <v>0.78119840172572697</v>
      </c>
      <c r="I50" s="18">
        <f t="shared" ca="1" si="4"/>
        <v>932163.58670210105</v>
      </c>
    </row>
    <row r="51" spans="1:9" x14ac:dyDescent="0.25">
      <c r="A51" s="16">
        <f t="shared" ca="1" si="5"/>
        <v>2022</v>
      </c>
      <c r="B51" s="18">
        <f t="shared" ca="1" si="6"/>
        <v>9837420.9670425393</v>
      </c>
      <c r="C51" s="18">
        <f t="shared" ca="1" si="7"/>
        <v>786993.67736340396</v>
      </c>
      <c r="D51" s="18">
        <f t="shared" ca="1" si="0"/>
        <v>1193248.2</v>
      </c>
      <c r="E51" s="18">
        <f t="shared" ca="1" si="8"/>
        <v>9431166.4444059506</v>
      </c>
      <c r="F51" s="19">
        <f t="shared" ca="1" si="1"/>
        <v>0.183940507033656</v>
      </c>
      <c r="G51" s="18">
        <f t="shared" ca="1" si="2"/>
        <v>219486.67892499699</v>
      </c>
      <c r="H51" s="19">
        <f t="shared" ca="1" si="3"/>
        <v>0.76214478217144099</v>
      </c>
      <c r="I51" s="18">
        <f t="shared" ca="1" si="4"/>
        <v>909427.88946546405</v>
      </c>
    </row>
    <row r="52" spans="1:9" x14ac:dyDescent="0.25">
      <c r="A52" s="16">
        <f t="shared" ca="1" si="5"/>
        <v>2023</v>
      </c>
      <c r="B52" s="18">
        <f t="shared" ca="1" si="6"/>
        <v>9431166.4444059506</v>
      </c>
      <c r="C52" s="18">
        <f t="shared" ca="1" si="7"/>
        <v>754493.31555247598</v>
      </c>
      <c r="D52" s="18">
        <f t="shared" ca="1" si="0"/>
        <v>1193248.2</v>
      </c>
      <c r="E52" s="18">
        <f t="shared" ca="1" si="8"/>
        <v>8992411.5599584207</v>
      </c>
      <c r="F52" s="19">
        <f t="shared" ca="1" si="1"/>
        <v>0.170315284290422</v>
      </c>
      <c r="G52" s="18">
        <f t="shared" ca="1" si="2"/>
        <v>203228.40641203499</v>
      </c>
      <c r="H52" s="19">
        <f t="shared" ca="1" si="3"/>
        <v>0.74355588504530901</v>
      </c>
      <c r="I52" s="18">
        <f t="shared" ca="1" si="4"/>
        <v>887246.72142972203</v>
      </c>
    </row>
    <row r="53" spans="1:9" x14ac:dyDescent="0.25">
      <c r="A53" s="16">
        <f t="shared" ca="1" si="5"/>
        <v>2024</v>
      </c>
      <c r="B53" s="18">
        <f t="shared" ca="1" si="6"/>
        <v>8992411.5599584207</v>
      </c>
      <c r="C53" s="18">
        <f t="shared" ca="1" si="7"/>
        <v>719392.92479667405</v>
      </c>
      <c r="D53" s="18">
        <f t="shared" ca="1" si="0"/>
        <v>1193248.2</v>
      </c>
      <c r="E53" s="18">
        <f t="shared" ca="1" si="8"/>
        <v>8518556.2847550996</v>
      </c>
      <c r="F53" s="19">
        <f t="shared" ca="1" si="1"/>
        <v>0.15769933730594701</v>
      </c>
      <c r="G53" s="18">
        <f t="shared" ca="1" si="2"/>
        <v>188174.45038151401</v>
      </c>
      <c r="H53" s="19">
        <f t="shared" ca="1" si="3"/>
        <v>0.72542037565396</v>
      </c>
      <c r="I53" s="18">
        <f t="shared" ca="1" si="4"/>
        <v>865606.557492411</v>
      </c>
    </row>
    <row r="54" spans="1:9" x14ac:dyDescent="0.25">
      <c r="A54" s="16">
        <f t="shared" ca="1" si="5"/>
        <v>2025</v>
      </c>
      <c r="B54" s="18">
        <f t="shared" ca="1" si="6"/>
        <v>8518556.2847550996</v>
      </c>
      <c r="C54" s="18">
        <f t="shared" ca="1" si="7"/>
        <v>681484.50278040802</v>
      </c>
      <c r="D54" s="18">
        <f t="shared" ca="1" si="0"/>
        <v>1193248.2</v>
      </c>
      <c r="E54" s="18">
        <f t="shared" ca="1" si="8"/>
        <v>8006792.5875355098</v>
      </c>
      <c r="F54" s="19">
        <f t="shared" ca="1" si="1"/>
        <v>0.146017904912913</v>
      </c>
      <c r="G54" s="18">
        <f t="shared" ca="1" si="2"/>
        <v>174235.60220510501</v>
      </c>
      <c r="H54" s="19">
        <f t="shared" ca="1" si="3"/>
        <v>0.70772719575996101</v>
      </c>
      <c r="I54" s="18">
        <f t="shared" ca="1" si="4"/>
        <v>844494.20243162103</v>
      </c>
    </row>
    <row r="55" spans="1:9" x14ac:dyDescent="0.25">
      <c r="A55" s="16">
        <f t="shared" ca="1" si="5"/>
        <v>2026</v>
      </c>
      <c r="B55" s="18">
        <f t="shared" ca="1" si="6"/>
        <v>8006792.5875355098</v>
      </c>
      <c r="C55" s="18">
        <f t="shared" ca="1" si="7"/>
        <v>640543.40700283996</v>
      </c>
      <c r="D55" s="18">
        <f t="shared" ca="1" si="0"/>
        <v>1193248.2</v>
      </c>
      <c r="E55" s="18">
        <f t="shared" ca="1" si="8"/>
        <v>7454087.7945383498</v>
      </c>
      <c r="F55" s="19">
        <f t="shared" ca="1" si="1"/>
        <v>0.13520176380825299</v>
      </c>
      <c r="G55" s="18">
        <f t="shared" ca="1" si="2"/>
        <v>161329.26130102301</v>
      </c>
      <c r="H55" s="19">
        <f t="shared" ca="1" si="3"/>
        <v>0.69046555683898603</v>
      </c>
      <c r="I55" s="18">
        <f t="shared" ca="1" si="4"/>
        <v>823896.78286011796</v>
      </c>
    </row>
    <row r="56" spans="1:9" x14ac:dyDescent="0.25">
      <c r="A56" s="16">
        <f t="shared" ca="1" si="5"/>
        <v>2027</v>
      </c>
      <c r="B56" s="18">
        <f t="shared" ca="1" si="6"/>
        <v>7454087.7945383498</v>
      </c>
      <c r="C56" s="18">
        <f t="shared" ca="1" si="7"/>
        <v>596327.02356306801</v>
      </c>
      <c r="D56" s="18">
        <f t="shared" ca="1" si="0"/>
        <v>1193248.2</v>
      </c>
      <c r="E56" s="18">
        <f t="shared" ca="1" si="8"/>
        <v>6857166.6181014096</v>
      </c>
      <c r="F56" s="19">
        <f t="shared" ca="1" si="1"/>
        <v>0.125186818340975</v>
      </c>
      <c r="G56" s="18">
        <f t="shared" ca="1" si="2"/>
        <v>149378.94564909599</v>
      </c>
      <c r="H56" s="19">
        <f t="shared" ca="1" si="3"/>
        <v>0.67362493350145003</v>
      </c>
      <c r="I56" s="18">
        <f t="shared" ca="1" si="4"/>
        <v>803801.73937572504</v>
      </c>
    </row>
    <row r="57" spans="1:9" x14ac:dyDescent="0.25">
      <c r="A57" s="16">
        <f t="shared" ca="1" si="5"/>
        <v>2028</v>
      </c>
      <c r="B57" s="18">
        <f t="shared" ca="1" si="6"/>
        <v>6857166.6181014096</v>
      </c>
      <c r="C57" s="18">
        <f t="shared" ca="1" si="7"/>
        <v>548573.32944811299</v>
      </c>
      <c r="D57" s="18">
        <f t="shared" ca="1" si="0"/>
        <v>1193248.2</v>
      </c>
      <c r="E57" s="18">
        <f t="shared" ca="1" si="8"/>
        <v>6212491.7475495301</v>
      </c>
      <c r="F57" s="19">
        <f t="shared" ca="1" si="1"/>
        <v>0.115913720686088</v>
      </c>
      <c r="G57" s="18">
        <f t="shared" ca="1" si="2"/>
        <v>138313.83856397701</v>
      </c>
      <c r="H57" s="19">
        <f t="shared" ca="1" si="3"/>
        <v>0.65719505707458603</v>
      </c>
      <c r="I57" s="18">
        <f t="shared" ca="1" si="4"/>
        <v>784196.81890314596</v>
      </c>
    </row>
    <row r="58" spans="1:9" x14ac:dyDescent="0.25">
      <c r="A58" s="16">
        <f t="shared" ca="1" si="5"/>
        <v>2029</v>
      </c>
      <c r="B58" s="18">
        <f t="shared" ca="1" si="6"/>
        <v>6212491.7475495301</v>
      </c>
      <c r="C58" s="18">
        <f t="shared" ca="1" si="7"/>
        <v>496999.33980396198</v>
      </c>
      <c r="D58" s="18">
        <f t="shared" ca="1" si="0"/>
        <v>1193248.2</v>
      </c>
      <c r="E58" s="18">
        <f t="shared" ca="1" si="8"/>
        <v>5516242.8873534901</v>
      </c>
      <c r="F58" s="19">
        <f t="shared" ca="1" si="1"/>
        <v>0.10732751915378499</v>
      </c>
      <c r="G58" s="18">
        <f t="shared" ca="1" si="2"/>
        <v>128068.36904072</v>
      </c>
      <c r="H58" s="19">
        <f t="shared" ca="1" si="3"/>
        <v>0.64116590934105899</v>
      </c>
      <c r="I58" s="18">
        <f t="shared" ca="1" si="4"/>
        <v>765070.06722258194</v>
      </c>
    </row>
    <row r="59" spans="1:9" x14ac:dyDescent="0.25">
      <c r="A59" s="16">
        <f t="shared" ca="1" si="5"/>
        <v>2030</v>
      </c>
      <c r="B59" s="18">
        <f t="shared" ca="1" si="6"/>
        <v>5516242.8873534901</v>
      </c>
      <c r="C59" s="18">
        <f t="shared" ca="1" si="7"/>
        <v>441299.430988279</v>
      </c>
      <c r="D59" s="18">
        <f t="shared" ca="1" si="0"/>
        <v>1193248.2</v>
      </c>
      <c r="E59" s="18">
        <f t="shared" ca="1" si="8"/>
        <v>4764294.11834177</v>
      </c>
      <c r="F59" s="19">
        <f t="shared" ca="1" si="1"/>
        <v>9.9377332549801203E-2</v>
      </c>
      <c r="G59" s="18">
        <f t="shared" ca="1" si="2"/>
        <v>118581.823185852</v>
      </c>
      <c r="H59" s="19">
        <f t="shared" ca="1" si="3"/>
        <v>0.62552771643030203</v>
      </c>
      <c r="I59" s="18">
        <f t="shared" ca="1" si="4"/>
        <v>746409.82168056804</v>
      </c>
    </row>
    <row r="60" spans="1:9" x14ac:dyDescent="0.25">
      <c r="A60" s="16">
        <f t="shared" ca="1" si="5"/>
        <v>2031</v>
      </c>
      <c r="B60" s="18">
        <f t="shared" ca="1" si="6"/>
        <v>4764294.11834177</v>
      </c>
      <c r="C60" s="18">
        <f t="shared" ca="1" si="7"/>
        <v>381143.52946734102</v>
      </c>
      <c r="D60" s="18">
        <f t="shared" ca="1" si="0"/>
        <v>1193248.2</v>
      </c>
      <c r="E60" s="18">
        <f t="shared" ca="1" si="8"/>
        <v>3952189.4478091099</v>
      </c>
      <c r="F60" s="19">
        <f t="shared" ca="1" si="1"/>
        <v>9.2016048657223307E-2</v>
      </c>
      <c r="G60" s="18">
        <f t="shared" ca="1" si="2"/>
        <v>109797.984431344</v>
      </c>
      <c r="H60" s="19">
        <f t="shared" ca="1" si="3"/>
        <v>0.61027094285883099</v>
      </c>
      <c r="I60" s="18">
        <f t="shared" ca="1" si="4"/>
        <v>728204.70407860295</v>
      </c>
    </row>
    <row r="61" spans="1:9" x14ac:dyDescent="0.25">
      <c r="A61" s="16">
        <f t="shared" ca="1" si="5"/>
        <v>2032</v>
      </c>
      <c r="B61" s="18">
        <f t="shared" ca="1" si="6"/>
        <v>3952189.4478091099</v>
      </c>
      <c r="C61" s="18">
        <f t="shared" ca="1" si="7"/>
        <v>316175.15582472901</v>
      </c>
      <c r="D61" s="18">
        <f t="shared" ca="1" si="0"/>
        <v>1193248.2</v>
      </c>
      <c r="E61" s="18">
        <f t="shared" ca="1" si="8"/>
        <v>3075116.4036338399</v>
      </c>
      <c r="F61" s="19">
        <f t="shared" ca="1" si="1"/>
        <v>8.5200045052984494E-2</v>
      </c>
      <c r="G61" s="18">
        <f t="shared" ca="1" si="2"/>
        <v>101664.800399393</v>
      </c>
      <c r="H61" s="19">
        <f t="shared" ca="1" si="3"/>
        <v>0.59538628571593299</v>
      </c>
      <c r="I61" s="18">
        <f t="shared" ca="1" si="4"/>
        <v>710443.61373522202</v>
      </c>
    </row>
    <row r="62" spans="1:9" x14ac:dyDescent="0.25">
      <c r="A62" s="16">
        <f t="shared" ca="1" si="5"/>
        <v>2033</v>
      </c>
      <c r="B62" s="18">
        <f t="shared" ca="1" si="6"/>
        <v>3075116.4036338399</v>
      </c>
      <c r="C62" s="18">
        <f t="shared" ca="1" si="7"/>
        <v>246009.31229070699</v>
      </c>
      <c r="D62" s="18">
        <f t="shared" ca="1" si="0"/>
        <v>1193248.2</v>
      </c>
      <c r="E62" s="18">
        <f t="shared" ca="1" si="8"/>
        <v>2127877.5159245399</v>
      </c>
      <c r="F62" s="19">
        <f t="shared" ca="1" si="1"/>
        <v>7.8888930604615298E-2</v>
      </c>
      <c r="G62" s="18">
        <f t="shared" ca="1" si="2"/>
        <v>94134.074443882098</v>
      </c>
      <c r="H62" s="19">
        <f t="shared" ca="1" si="3"/>
        <v>0.58086466899115397</v>
      </c>
      <c r="I62" s="18">
        <f t="shared" ca="1" si="4"/>
        <v>693115.72071728995</v>
      </c>
    </row>
    <row r="63" spans="1:9" x14ac:dyDescent="0.25">
      <c r="A63" s="16">
        <f t="shared" ca="1" si="5"/>
        <v>2034</v>
      </c>
      <c r="B63" s="18">
        <f t="shared" ca="1" si="6"/>
        <v>2127877.5159245399</v>
      </c>
      <c r="C63" s="18">
        <f t="shared" ca="1" si="7"/>
        <v>170230.20127396399</v>
      </c>
      <c r="D63" s="18">
        <f t="shared" ca="1" si="0"/>
        <v>1193248.2</v>
      </c>
      <c r="E63" s="18">
        <f t="shared" ca="1" si="8"/>
        <v>1104859.51719851</v>
      </c>
      <c r="F63" s="19">
        <f t="shared" ca="1" si="1"/>
        <v>7.3045306115384498E-2</v>
      </c>
      <c r="G63" s="18">
        <f t="shared" ca="1" si="2"/>
        <v>87161.180040631603</v>
      </c>
      <c r="H63" s="19">
        <f t="shared" ca="1" si="3"/>
        <v>0.56669723804015004</v>
      </c>
      <c r="I63" s="18">
        <f t="shared" ca="1" si="4"/>
        <v>676210.45923638099</v>
      </c>
    </row>
    <row r="64" spans="1:9" x14ac:dyDescent="0.25">
      <c r="A64" s="16">
        <f t="shared" ca="1" si="5"/>
        <v>2035</v>
      </c>
      <c r="B64" s="18">
        <f t="shared" ca="1" si="6"/>
        <v>1104859.51719851</v>
      </c>
      <c r="C64" s="18">
        <f t="shared" ca="1" si="7"/>
        <v>88388.761375880596</v>
      </c>
      <c r="D64" s="18">
        <f t="shared" ca="1" si="0"/>
        <v>1193248.2</v>
      </c>
      <c r="E64" s="18">
        <f t="shared" ca="1" si="8"/>
        <v>7.8574388055130798E-2</v>
      </c>
      <c r="F64" s="19">
        <f t="shared" ca="1" si="1"/>
        <v>6.7634542699430103E-2</v>
      </c>
      <c r="G64" s="18">
        <f t="shared" ca="1" si="2"/>
        <v>80704.796333918101</v>
      </c>
      <c r="H64" s="19">
        <f t="shared" ca="1" si="3"/>
        <v>0.55287535418551204</v>
      </c>
      <c r="I64" s="18">
        <f t="shared" ca="1" si="4"/>
        <v>659717.52120622504</v>
      </c>
    </row>
  </sheetData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DBBE9-63FB-479A-9DE9-A0D7E3E31DB6}">
  <dimension ref="A1:D86"/>
  <sheetViews>
    <sheetView showGridLines="0" zoomScaleNormal="100" workbookViewId="0">
      <selection activeCell="H19" sqref="H19"/>
    </sheetView>
  </sheetViews>
  <sheetFormatPr defaultColWidth="8.7109375" defaultRowHeight="15" x14ac:dyDescent="0.25"/>
  <cols>
    <col min="1" max="1" width="34" customWidth="1"/>
    <col min="2" max="2" width="18" customWidth="1"/>
    <col min="3" max="4" width="16" customWidth="1"/>
  </cols>
  <sheetData>
    <row r="1" spans="1:4" ht="24" customHeight="1" x14ac:dyDescent="0.25">
      <c r="A1" s="1" t="s">
        <v>30</v>
      </c>
      <c r="B1" s="2"/>
      <c r="C1" s="2"/>
      <c r="D1" s="2"/>
    </row>
    <row r="2" spans="1:4" x14ac:dyDescent="0.25">
      <c r="A2" s="3" t="s">
        <v>31</v>
      </c>
    </row>
    <row r="4" spans="1:4" x14ac:dyDescent="0.25">
      <c r="A4" s="4" t="s">
        <v>32</v>
      </c>
      <c r="B4" s="5"/>
    </row>
    <row r="5" spans="1:4" x14ac:dyDescent="0.25">
      <c r="A5" s="6" t="s">
        <v>33</v>
      </c>
      <c r="B5" s="20">
        <v>250000</v>
      </c>
    </row>
    <row r="6" spans="1:4" x14ac:dyDescent="0.25">
      <c r="A6" s="6" t="s">
        <v>34</v>
      </c>
      <c r="B6" s="20">
        <v>18000</v>
      </c>
    </row>
    <row r="7" spans="1:4" x14ac:dyDescent="0.25">
      <c r="A7" s="6" t="s">
        <v>8</v>
      </c>
      <c r="B7" s="21">
        <v>25</v>
      </c>
    </row>
    <row r="8" spans="1:4" x14ac:dyDescent="0.25">
      <c r="A8" s="6" t="s">
        <v>35</v>
      </c>
      <c r="B8" s="21">
        <v>1</v>
      </c>
    </row>
    <row r="9" spans="1:4" x14ac:dyDescent="0.25">
      <c r="A9" s="6" t="s">
        <v>36</v>
      </c>
      <c r="B9" s="12">
        <v>0.05</v>
      </c>
    </row>
    <row r="11" spans="1:4" x14ac:dyDescent="0.25">
      <c r="A11" s="4" t="s">
        <v>13</v>
      </c>
      <c r="B11" s="5"/>
    </row>
    <row r="12" spans="1:4" x14ac:dyDescent="0.25">
      <c r="A12" s="6" t="s">
        <v>37</v>
      </c>
      <c r="B12" s="11">
        <f ca="1">SUM(D26:D86)</f>
        <v>253691.00218880599</v>
      </c>
    </row>
    <row r="13" spans="1:4" x14ac:dyDescent="0.25">
      <c r="A13" s="6" t="s">
        <v>38</v>
      </c>
      <c r="B13" s="11">
        <f ca="1">B5</f>
        <v>250000</v>
      </c>
    </row>
    <row r="14" spans="1:4" x14ac:dyDescent="0.25">
      <c r="A14" s="6" t="s">
        <v>39</v>
      </c>
      <c r="B14" s="11">
        <f ca="1">B6*B7</f>
        <v>450000</v>
      </c>
    </row>
    <row r="15" spans="1:4" x14ac:dyDescent="0.25">
      <c r="A15" s="6" t="s">
        <v>40</v>
      </c>
      <c r="B15" s="22">
        <f ca="1">IRR(B26:B86,0.1)</f>
        <v>5.1468024078781399E-2</v>
      </c>
    </row>
    <row r="16" spans="1:4" x14ac:dyDescent="0.25">
      <c r="A16" s="13" t="s">
        <v>17</v>
      </c>
      <c r="B16" s="14" t="str">
        <f ca="1">IF(B12&gt;=B13,"Take the payments","Take the lump sum")</f>
        <v>Take the payments</v>
      </c>
    </row>
    <row r="17" spans="1:4" x14ac:dyDescent="0.25">
      <c r="A17" s="6" t="s">
        <v>41</v>
      </c>
      <c r="B17" s="11">
        <f ca="1">B12-B13</f>
        <v>3691.0021888054898</v>
      </c>
    </row>
    <row r="19" spans="1:4" x14ac:dyDescent="0.25">
      <c r="A19" s="4" t="s">
        <v>42</v>
      </c>
      <c r="B19" s="5"/>
    </row>
    <row r="20" spans="1:4" x14ac:dyDescent="0.25">
      <c r="A20" s="6" t="s">
        <v>43</v>
      </c>
      <c r="B20" s="23">
        <v>3.6249999999999998E-2</v>
      </c>
    </row>
    <row r="21" spans="1:4" x14ac:dyDescent="0.25">
      <c r="A21" s="6" t="s">
        <v>44</v>
      </c>
      <c r="B21" s="23">
        <v>4.3999999999999997E-2</v>
      </c>
    </row>
    <row r="22" spans="1:4" x14ac:dyDescent="0.25">
      <c r="A22" s="6" t="s">
        <v>45</v>
      </c>
      <c r="B22" s="23">
        <v>6.5000000000000002E-2</v>
      </c>
    </row>
    <row r="23" spans="1:4" x14ac:dyDescent="0.25">
      <c r="A23" s="3" t="s">
        <v>46</v>
      </c>
    </row>
    <row r="25" spans="1:4" ht="30" customHeight="1" x14ac:dyDescent="0.25">
      <c r="A25" s="15" t="s">
        <v>47</v>
      </c>
      <c r="B25" s="15" t="s">
        <v>48</v>
      </c>
      <c r="C25" s="15" t="s">
        <v>49</v>
      </c>
      <c r="D25" s="15" t="s">
        <v>27</v>
      </c>
    </row>
    <row r="26" spans="1:4" x14ac:dyDescent="0.25">
      <c r="A26" s="16">
        <v>0</v>
      </c>
      <c r="B26" s="18">
        <f t="shared" ref="B26:B86" ca="1" si="0">IF(A26=0,-$B$5,0)+IF(AND(A26&gt;=$B$8,A26&lt;=$B$8+$B$7-1),$B$6,0)</f>
        <v>-250000</v>
      </c>
      <c r="C26" s="18">
        <f t="shared" ref="C26:C86" ca="1" si="1">IF(AND(A26&gt;=$B$8,A26&lt;=$B$8+$B$7-1),$B$6,0)</f>
        <v>0</v>
      </c>
      <c r="D26" s="18">
        <f t="shared" ref="D26:D86" ca="1" si="2">C26/(1+$B$9)^A26</f>
        <v>0</v>
      </c>
    </row>
    <row r="27" spans="1:4" x14ac:dyDescent="0.25">
      <c r="A27" s="16">
        <f t="shared" ref="A27:A86" ca="1" si="3">A26+1</f>
        <v>1</v>
      </c>
      <c r="B27" s="18">
        <f t="shared" ca="1" si="0"/>
        <v>18000</v>
      </c>
      <c r="C27" s="18">
        <f t="shared" ca="1" si="1"/>
        <v>18000</v>
      </c>
      <c r="D27" s="18">
        <f t="shared" ca="1" si="2"/>
        <v>17142.857142857101</v>
      </c>
    </row>
    <row r="28" spans="1:4" x14ac:dyDescent="0.25">
      <c r="A28" s="16">
        <f t="shared" ca="1" si="3"/>
        <v>2</v>
      </c>
      <c r="B28" s="18">
        <f t="shared" ca="1" si="0"/>
        <v>18000</v>
      </c>
      <c r="C28" s="18">
        <f t="shared" ca="1" si="1"/>
        <v>18000</v>
      </c>
      <c r="D28" s="18">
        <f t="shared" ca="1" si="2"/>
        <v>16326.5306122449</v>
      </c>
    </row>
    <row r="29" spans="1:4" x14ac:dyDescent="0.25">
      <c r="A29" s="16">
        <f t="shared" ca="1" si="3"/>
        <v>3</v>
      </c>
      <c r="B29" s="18">
        <f t="shared" ca="1" si="0"/>
        <v>18000</v>
      </c>
      <c r="C29" s="18">
        <f t="shared" ca="1" si="1"/>
        <v>18000</v>
      </c>
      <c r="D29" s="18">
        <f t="shared" ca="1" si="2"/>
        <v>15549.0767735666</v>
      </c>
    </row>
    <row r="30" spans="1:4" x14ac:dyDescent="0.25">
      <c r="A30" s="16">
        <f t="shared" ca="1" si="3"/>
        <v>4</v>
      </c>
      <c r="B30" s="18">
        <f t="shared" ca="1" si="0"/>
        <v>18000</v>
      </c>
      <c r="C30" s="18">
        <f t="shared" ca="1" si="1"/>
        <v>18000</v>
      </c>
      <c r="D30" s="18">
        <f t="shared" ca="1" si="2"/>
        <v>14808.6445462539</v>
      </c>
    </row>
    <row r="31" spans="1:4" x14ac:dyDescent="0.25">
      <c r="A31" s="16">
        <f t="shared" ca="1" si="3"/>
        <v>5</v>
      </c>
      <c r="B31" s="18">
        <f t="shared" ca="1" si="0"/>
        <v>18000</v>
      </c>
      <c r="C31" s="18">
        <f t="shared" ca="1" si="1"/>
        <v>18000</v>
      </c>
      <c r="D31" s="18">
        <f t="shared" ca="1" si="2"/>
        <v>14103.470996432299</v>
      </c>
    </row>
    <row r="32" spans="1:4" x14ac:dyDescent="0.25">
      <c r="A32" s="16">
        <f t="shared" ca="1" si="3"/>
        <v>6</v>
      </c>
      <c r="B32" s="18">
        <f t="shared" ca="1" si="0"/>
        <v>18000</v>
      </c>
      <c r="C32" s="18">
        <f t="shared" ca="1" si="1"/>
        <v>18000</v>
      </c>
      <c r="D32" s="18">
        <f t="shared" ca="1" si="2"/>
        <v>13431.8771394593</v>
      </c>
    </row>
    <row r="33" spans="1:4" x14ac:dyDescent="0.25">
      <c r="A33" s="16">
        <f t="shared" ca="1" si="3"/>
        <v>7</v>
      </c>
      <c r="B33" s="18">
        <f t="shared" ca="1" si="0"/>
        <v>18000</v>
      </c>
      <c r="C33" s="18">
        <f t="shared" ca="1" si="1"/>
        <v>18000</v>
      </c>
      <c r="D33" s="18">
        <f t="shared" ca="1" si="2"/>
        <v>12792.263942342201</v>
      </c>
    </row>
    <row r="34" spans="1:4" x14ac:dyDescent="0.25">
      <c r="A34" s="16">
        <f t="shared" ca="1" si="3"/>
        <v>8</v>
      </c>
      <c r="B34" s="18">
        <f t="shared" ca="1" si="0"/>
        <v>18000</v>
      </c>
      <c r="C34" s="18">
        <f t="shared" ca="1" si="1"/>
        <v>18000</v>
      </c>
      <c r="D34" s="18">
        <f t="shared" ca="1" si="2"/>
        <v>12183.1085165164</v>
      </c>
    </row>
    <row r="35" spans="1:4" x14ac:dyDescent="0.25">
      <c r="A35" s="16">
        <f t="shared" ca="1" si="3"/>
        <v>9</v>
      </c>
      <c r="B35" s="18">
        <f t="shared" ca="1" si="0"/>
        <v>18000</v>
      </c>
      <c r="C35" s="18">
        <f t="shared" ca="1" si="1"/>
        <v>18000</v>
      </c>
      <c r="D35" s="18">
        <f t="shared" ca="1" si="2"/>
        <v>11602.960491920299</v>
      </c>
    </row>
    <row r="36" spans="1:4" x14ac:dyDescent="0.25">
      <c r="A36" s="16">
        <f t="shared" ca="1" si="3"/>
        <v>10</v>
      </c>
      <c r="B36" s="18">
        <f t="shared" ca="1" si="0"/>
        <v>18000</v>
      </c>
      <c r="C36" s="18">
        <f t="shared" ca="1" si="1"/>
        <v>18000</v>
      </c>
      <c r="D36" s="18">
        <f t="shared" ca="1" si="2"/>
        <v>11050.4385637337</v>
      </c>
    </row>
    <row r="37" spans="1:4" x14ac:dyDescent="0.25">
      <c r="A37" s="16">
        <f t="shared" ca="1" si="3"/>
        <v>11</v>
      </c>
      <c r="B37" s="18">
        <f t="shared" ca="1" si="0"/>
        <v>18000</v>
      </c>
      <c r="C37" s="18">
        <f t="shared" ca="1" si="1"/>
        <v>18000</v>
      </c>
      <c r="D37" s="18">
        <f t="shared" ca="1" si="2"/>
        <v>10524.2272035559</v>
      </c>
    </row>
    <row r="38" spans="1:4" x14ac:dyDescent="0.25">
      <c r="A38" s="16">
        <f t="shared" ca="1" si="3"/>
        <v>12</v>
      </c>
      <c r="B38" s="18">
        <f t="shared" ca="1" si="0"/>
        <v>18000</v>
      </c>
      <c r="C38" s="18">
        <f t="shared" ca="1" si="1"/>
        <v>18000</v>
      </c>
      <c r="D38" s="18">
        <f t="shared" ca="1" si="2"/>
        <v>10023.0735271961</v>
      </c>
    </row>
    <row r="39" spans="1:4" x14ac:dyDescent="0.25">
      <c r="A39" s="16">
        <f t="shared" ca="1" si="3"/>
        <v>13</v>
      </c>
      <c r="B39" s="18">
        <f t="shared" ca="1" si="0"/>
        <v>18000</v>
      </c>
      <c r="C39" s="18">
        <f t="shared" ca="1" si="1"/>
        <v>18000</v>
      </c>
      <c r="D39" s="18">
        <f t="shared" ca="1" si="2"/>
        <v>9545.7843116152999</v>
      </c>
    </row>
    <row r="40" spans="1:4" x14ac:dyDescent="0.25">
      <c r="A40" s="16">
        <f t="shared" ca="1" si="3"/>
        <v>14</v>
      </c>
      <c r="B40" s="18">
        <f t="shared" ca="1" si="0"/>
        <v>18000</v>
      </c>
      <c r="C40" s="18">
        <f t="shared" ca="1" si="1"/>
        <v>18000</v>
      </c>
      <c r="D40" s="18">
        <f t="shared" ca="1" si="2"/>
        <v>9091.2231539193308</v>
      </c>
    </row>
    <row r="41" spans="1:4" x14ac:dyDescent="0.25">
      <c r="A41" s="16">
        <f t="shared" ca="1" si="3"/>
        <v>15</v>
      </c>
      <c r="B41" s="18">
        <f t="shared" ca="1" si="0"/>
        <v>18000</v>
      </c>
      <c r="C41" s="18">
        <f t="shared" ca="1" si="1"/>
        <v>18000</v>
      </c>
      <c r="D41" s="18">
        <f t="shared" ca="1" si="2"/>
        <v>8658.3077656374608</v>
      </c>
    </row>
    <row r="42" spans="1:4" x14ac:dyDescent="0.25">
      <c r="A42" s="16">
        <f t="shared" ca="1" si="3"/>
        <v>16</v>
      </c>
      <c r="B42" s="18">
        <f t="shared" ca="1" si="0"/>
        <v>18000</v>
      </c>
      <c r="C42" s="18">
        <f t="shared" ca="1" si="1"/>
        <v>18000</v>
      </c>
      <c r="D42" s="18">
        <f t="shared" ca="1" si="2"/>
        <v>8246.0073958451994</v>
      </c>
    </row>
    <row r="43" spans="1:4" x14ac:dyDescent="0.25">
      <c r="A43" s="16">
        <f t="shared" ca="1" si="3"/>
        <v>17</v>
      </c>
      <c r="B43" s="18">
        <f t="shared" ca="1" si="0"/>
        <v>18000</v>
      </c>
      <c r="C43" s="18">
        <f t="shared" ca="1" si="1"/>
        <v>18000</v>
      </c>
      <c r="D43" s="18">
        <f t="shared" ca="1" si="2"/>
        <v>7853.3403769954302</v>
      </c>
    </row>
    <row r="44" spans="1:4" x14ac:dyDescent="0.25">
      <c r="A44" s="16">
        <f t="shared" ca="1" si="3"/>
        <v>18</v>
      </c>
      <c r="B44" s="18">
        <f t="shared" ca="1" si="0"/>
        <v>18000</v>
      </c>
      <c r="C44" s="18">
        <f t="shared" ca="1" si="1"/>
        <v>18000</v>
      </c>
      <c r="D44" s="18">
        <f t="shared" ca="1" si="2"/>
        <v>7479.3717876146902</v>
      </c>
    </row>
    <row r="45" spans="1:4" x14ac:dyDescent="0.25">
      <c r="A45" s="16">
        <f t="shared" ca="1" si="3"/>
        <v>19</v>
      </c>
      <c r="B45" s="18">
        <f t="shared" ca="1" si="0"/>
        <v>18000</v>
      </c>
      <c r="C45" s="18">
        <f t="shared" ca="1" si="1"/>
        <v>18000</v>
      </c>
      <c r="D45" s="18">
        <f t="shared" ca="1" si="2"/>
        <v>7123.2112262997098</v>
      </c>
    </row>
    <row r="46" spans="1:4" x14ac:dyDescent="0.25">
      <c r="A46" s="16">
        <f t="shared" ca="1" si="3"/>
        <v>20</v>
      </c>
      <c r="B46" s="18">
        <f t="shared" ca="1" si="0"/>
        <v>18000</v>
      </c>
      <c r="C46" s="18">
        <f t="shared" ca="1" si="1"/>
        <v>18000</v>
      </c>
      <c r="D46" s="18">
        <f t="shared" ca="1" si="2"/>
        <v>6784.0106917140101</v>
      </c>
    </row>
    <row r="47" spans="1:4" x14ac:dyDescent="0.25">
      <c r="A47" s="16">
        <f t="shared" ca="1" si="3"/>
        <v>21</v>
      </c>
      <c r="B47" s="18">
        <f t="shared" ca="1" si="0"/>
        <v>18000</v>
      </c>
      <c r="C47" s="18">
        <f t="shared" ca="1" si="1"/>
        <v>18000</v>
      </c>
      <c r="D47" s="18">
        <f t="shared" ca="1" si="2"/>
        <v>6460.9625635371503</v>
      </c>
    </row>
    <row r="48" spans="1:4" x14ac:dyDescent="0.25">
      <c r="A48" s="16">
        <f t="shared" ca="1" si="3"/>
        <v>22</v>
      </c>
      <c r="B48" s="18">
        <f t="shared" ca="1" si="0"/>
        <v>18000</v>
      </c>
      <c r="C48" s="18">
        <f t="shared" ca="1" si="1"/>
        <v>18000</v>
      </c>
      <c r="D48" s="18">
        <f t="shared" ca="1" si="2"/>
        <v>6153.2976795591903</v>
      </c>
    </row>
    <row r="49" spans="1:4" x14ac:dyDescent="0.25">
      <c r="A49" s="16">
        <f t="shared" ca="1" si="3"/>
        <v>23</v>
      </c>
      <c r="B49" s="18">
        <f t="shared" ca="1" si="0"/>
        <v>18000</v>
      </c>
      <c r="C49" s="18">
        <f t="shared" ca="1" si="1"/>
        <v>18000</v>
      </c>
      <c r="D49" s="18">
        <f t="shared" ca="1" si="2"/>
        <v>5860.2835043420901</v>
      </c>
    </row>
    <row r="50" spans="1:4" x14ac:dyDescent="0.25">
      <c r="A50" s="16">
        <f t="shared" ca="1" si="3"/>
        <v>24</v>
      </c>
      <c r="B50" s="18">
        <f t="shared" ca="1" si="0"/>
        <v>18000</v>
      </c>
      <c r="C50" s="18">
        <f t="shared" ca="1" si="1"/>
        <v>18000</v>
      </c>
      <c r="D50" s="18">
        <f t="shared" ca="1" si="2"/>
        <v>5581.2223850876999</v>
      </c>
    </row>
    <row r="51" spans="1:4" x14ac:dyDescent="0.25">
      <c r="A51" s="16">
        <f t="shared" ca="1" si="3"/>
        <v>25</v>
      </c>
      <c r="B51" s="18">
        <f t="shared" ca="1" si="0"/>
        <v>18000</v>
      </c>
      <c r="C51" s="18">
        <f t="shared" ca="1" si="1"/>
        <v>18000</v>
      </c>
      <c r="D51" s="18">
        <f t="shared" ca="1" si="2"/>
        <v>5315.4498905597102</v>
      </c>
    </row>
    <row r="52" spans="1:4" x14ac:dyDescent="0.25">
      <c r="A52" s="16">
        <f t="shared" ca="1" si="3"/>
        <v>26</v>
      </c>
      <c r="B52" s="18">
        <f t="shared" ca="1" si="0"/>
        <v>0</v>
      </c>
      <c r="C52" s="18">
        <f t="shared" ca="1" si="1"/>
        <v>0</v>
      </c>
      <c r="D52" s="18">
        <f t="shared" ca="1" si="2"/>
        <v>0</v>
      </c>
    </row>
    <row r="53" spans="1:4" x14ac:dyDescent="0.25">
      <c r="A53" s="16">
        <f t="shared" ca="1" si="3"/>
        <v>27</v>
      </c>
      <c r="B53" s="18">
        <f t="shared" ca="1" si="0"/>
        <v>0</v>
      </c>
      <c r="C53" s="18">
        <f t="shared" ca="1" si="1"/>
        <v>0</v>
      </c>
      <c r="D53" s="18">
        <f t="shared" ca="1" si="2"/>
        <v>0</v>
      </c>
    </row>
    <row r="54" spans="1:4" x14ac:dyDescent="0.25">
      <c r="A54" s="16">
        <f t="shared" ca="1" si="3"/>
        <v>28</v>
      </c>
      <c r="B54" s="18">
        <f t="shared" ca="1" si="0"/>
        <v>0</v>
      </c>
      <c r="C54" s="18">
        <f t="shared" ca="1" si="1"/>
        <v>0</v>
      </c>
      <c r="D54" s="18">
        <f t="shared" ca="1" si="2"/>
        <v>0</v>
      </c>
    </row>
    <row r="55" spans="1:4" x14ac:dyDescent="0.25">
      <c r="A55" s="16">
        <f t="shared" ca="1" si="3"/>
        <v>29</v>
      </c>
      <c r="B55" s="18">
        <f t="shared" ca="1" si="0"/>
        <v>0</v>
      </c>
      <c r="C55" s="18">
        <f t="shared" ca="1" si="1"/>
        <v>0</v>
      </c>
      <c r="D55" s="18">
        <f t="shared" ca="1" si="2"/>
        <v>0</v>
      </c>
    </row>
    <row r="56" spans="1:4" x14ac:dyDescent="0.25">
      <c r="A56" s="16">
        <f t="shared" ca="1" si="3"/>
        <v>30</v>
      </c>
      <c r="B56" s="18">
        <f t="shared" ca="1" si="0"/>
        <v>0</v>
      </c>
      <c r="C56" s="18">
        <f t="shared" ca="1" si="1"/>
        <v>0</v>
      </c>
      <c r="D56" s="18">
        <f t="shared" ca="1" si="2"/>
        <v>0</v>
      </c>
    </row>
    <row r="57" spans="1:4" x14ac:dyDescent="0.25">
      <c r="A57" s="16">
        <f t="shared" ca="1" si="3"/>
        <v>31</v>
      </c>
      <c r="B57" s="18">
        <f t="shared" ca="1" si="0"/>
        <v>0</v>
      </c>
      <c r="C57" s="18">
        <f t="shared" ca="1" si="1"/>
        <v>0</v>
      </c>
      <c r="D57" s="18">
        <f t="shared" ca="1" si="2"/>
        <v>0</v>
      </c>
    </row>
    <row r="58" spans="1:4" x14ac:dyDescent="0.25">
      <c r="A58" s="16">
        <f t="shared" ca="1" si="3"/>
        <v>32</v>
      </c>
      <c r="B58" s="18">
        <f t="shared" ca="1" si="0"/>
        <v>0</v>
      </c>
      <c r="C58" s="18">
        <f t="shared" ca="1" si="1"/>
        <v>0</v>
      </c>
      <c r="D58" s="18">
        <f t="shared" ca="1" si="2"/>
        <v>0</v>
      </c>
    </row>
    <row r="59" spans="1:4" x14ac:dyDescent="0.25">
      <c r="A59" s="16">
        <f t="shared" ca="1" si="3"/>
        <v>33</v>
      </c>
      <c r="B59" s="18">
        <f t="shared" ca="1" si="0"/>
        <v>0</v>
      </c>
      <c r="C59" s="18">
        <f t="shared" ca="1" si="1"/>
        <v>0</v>
      </c>
      <c r="D59" s="18">
        <f t="shared" ca="1" si="2"/>
        <v>0</v>
      </c>
    </row>
    <row r="60" spans="1:4" x14ac:dyDescent="0.25">
      <c r="A60" s="16">
        <f t="shared" ca="1" si="3"/>
        <v>34</v>
      </c>
      <c r="B60" s="18">
        <f t="shared" ca="1" si="0"/>
        <v>0</v>
      </c>
      <c r="C60" s="18">
        <f t="shared" ca="1" si="1"/>
        <v>0</v>
      </c>
      <c r="D60" s="18">
        <f t="shared" ca="1" si="2"/>
        <v>0</v>
      </c>
    </row>
    <row r="61" spans="1:4" x14ac:dyDescent="0.25">
      <c r="A61" s="16">
        <f t="shared" ca="1" si="3"/>
        <v>35</v>
      </c>
      <c r="B61" s="18">
        <f t="shared" ca="1" si="0"/>
        <v>0</v>
      </c>
      <c r="C61" s="18">
        <f t="shared" ca="1" si="1"/>
        <v>0</v>
      </c>
      <c r="D61" s="18">
        <f t="shared" ca="1" si="2"/>
        <v>0</v>
      </c>
    </row>
    <row r="62" spans="1:4" x14ac:dyDescent="0.25">
      <c r="A62" s="16">
        <f t="shared" ca="1" si="3"/>
        <v>36</v>
      </c>
      <c r="B62" s="18">
        <f t="shared" ca="1" si="0"/>
        <v>0</v>
      </c>
      <c r="C62" s="18">
        <f t="shared" ca="1" si="1"/>
        <v>0</v>
      </c>
      <c r="D62" s="18">
        <f t="shared" ca="1" si="2"/>
        <v>0</v>
      </c>
    </row>
    <row r="63" spans="1:4" x14ac:dyDescent="0.25">
      <c r="A63" s="16">
        <f t="shared" ca="1" si="3"/>
        <v>37</v>
      </c>
      <c r="B63" s="18">
        <f t="shared" ca="1" si="0"/>
        <v>0</v>
      </c>
      <c r="C63" s="18">
        <f t="shared" ca="1" si="1"/>
        <v>0</v>
      </c>
      <c r="D63" s="18">
        <f t="shared" ca="1" si="2"/>
        <v>0</v>
      </c>
    </row>
    <row r="64" spans="1:4" x14ac:dyDescent="0.25">
      <c r="A64" s="16">
        <f t="shared" ca="1" si="3"/>
        <v>38</v>
      </c>
      <c r="B64" s="18">
        <f t="shared" ca="1" si="0"/>
        <v>0</v>
      </c>
      <c r="C64" s="18">
        <f t="shared" ca="1" si="1"/>
        <v>0</v>
      </c>
      <c r="D64" s="18">
        <f t="shared" ca="1" si="2"/>
        <v>0</v>
      </c>
    </row>
    <row r="65" spans="1:4" x14ac:dyDescent="0.25">
      <c r="A65" s="16">
        <f t="shared" ca="1" si="3"/>
        <v>39</v>
      </c>
      <c r="B65" s="18">
        <f t="shared" ca="1" si="0"/>
        <v>0</v>
      </c>
      <c r="C65" s="18">
        <f t="shared" ca="1" si="1"/>
        <v>0</v>
      </c>
      <c r="D65" s="18">
        <f t="shared" ca="1" si="2"/>
        <v>0</v>
      </c>
    </row>
    <row r="66" spans="1:4" x14ac:dyDescent="0.25">
      <c r="A66" s="16">
        <f t="shared" ca="1" si="3"/>
        <v>40</v>
      </c>
      <c r="B66" s="18">
        <f t="shared" ca="1" si="0"/>
        <v>0</v>
      </c>
      <c r="C66" s="18">
        <f t="shared" ca="1" si="1"/>
        <v>0</v>
      </c>
      <c r="D66" s="18">
        <f t="shared" ca="1" si="2"/>
        <v>0</v>
      </c>
    </row>
    <row r="67" spans="1:4" x14ac:dyDescent="0.25">
      <c r="A67" s="16">
        <f t="shared" ca="1" si="3"/>
        <v>41</v>
      </c>
      <c r="B67" s="18">
        <f t="shared" ca="1" si="0"/>
        <v>0</v>
      </c>
      <c r="C67" s="18">
        <f t="shared" ca="1" si="1"/>
        <v>0</v>
      </c>
      <c r="D67" s="18">
        <f t="shared" ca="1" si="2"/>
        <v>0</v>
      </c>
    </row>
    <row r="68" spans="1:4" x14ac:dyDescent="0.25">
      <c r="A68" s="16">
        <f t="shared" ca="1" si="3"/>
        <v>42</v>
      </c>
      <c r="B68" s="18">
        <f t="shared" ca="1" si="0"/>
        <v>0</v>
      </c>
      <c r="C68" s="18">
        <f t="shared" ca="1" si="1"/>
        <v>0</v>
      </c>
      <c r="D68" s="18">
        <f t="shared" ca="1" si="2"/>
        <v>0</v>
      </c>
    </row>
    <row r="69" spans="1:4" x14ac:dyDescent="0.25">
      <c r="A69" s="16">
        <f t="shared" ca="1" si="3"/>
        <v>43</v>
      </c>
      <c r="B69" s="18">
        <f t="shared" ca="1" si="0"/>
        <v>0</v>
      </c>
      <c r="C69" s="18">
        <f t="shared" ca="1" si="1"/>
        <v>0</v>
      </c>
      <c r="D69" s="18">
        <f t="shared" ca="1" si="2"/>
        <v>0</v>
      </c>
    </row>
    <row r="70" spans="1:4" x14ac:dyDescent="0.25">
      <c r="A70" s="16">
        <f t="shared" ca="1" si="3"/>
        <v>44</v>
      </c>
      <c r="B70" s="18">
        <f t="shared" ca="1" si="0"/>
        <v>0</v>
      </c>
      <c r="C70" s="18">
        <f t="shared" ca="1" si="1"/>
        <v>0</v>
      </c>
      <c r="D70" s="18">
        <f t="shared" ca="1" si="2"/>
        <v>0</v>
      </c>
    </row>
    <row r="71" spans="1:4" x14ac:dyDescent="0.25">
      <c r="A71" s="16">
        <f t="shared" ca="1" si="3"/>
        <v>45</v>
      </c>
      <c r="B71" s="18">
        <f t="shared" ca="1" si="0"/>
        <v>0</v>
      </c>
      <c r="C71" s="18">
        <f t="shared" ca="1" si="1"/>
        <v>0</v>
      </c>
      <c r="D71" s="18">
        <f t="shared" ca="1" si="2"/>
        <v>0</v>
      </c>
    </row>
    <row r="72" spans="1:4" x14ac:dyDescent="0.25">
      <c r="A72" s="16">
        <f t="shared" ca="1" si="3"/>
        <v>46</v>
      </c>
      <c r="B72" s="18">
        <f t="shared" ca="1" si="0"/>
        <v>0</v>
      </c>
      <c r="C72" s="18">
        <f t="shared" ca="1" si="1"/>
        <v>0</v>
      </c>
      <c r="D72" s="18">
        <f t="shared" ca="1" si="2"/>
        <v>0</v>
      </c>
    </row>
    <row r="73" spans="1:4" x14ac:dyDescent="0.25">
      <c r="A73" s="16">
        <f t="shared" ca="1" si="3"/>
        <v>47</v>
      </c>
      <c r="B73" s="18">
        <f t="shared" ca="1" si="0"/>
        <v>0</v>
      </c>
      <c r="C73" s="18">
        <f t="shared" ca="1" si="1"/>
        <v>0</v>
      </c>
      <c r="D73" s="18">
        <f t="shared" ca="1" si="2"/>
        <v>0</v>
      </c>
    </row>
    <row r="74" spans="1:4" x14ac:dyDescent="0.25">
      <c r="A74" s="16">
        <f t="shared" ca="1" si="3"/>
        <v>48</v>
      </c>
      <c r="B74" s="18">
        <f t="shared" ca="1" si="0"/>
        <v>0</v>
      </c>
      <c r="C74" s="18">
        <f t="shared" ca="1" si="1"/>
        <v>0</v>
      </c>
      <c r="D74" s="18">
        <f t="shared" ca="1" si="2"/>
        <v>0</v>
      </c>
    </row>
    <row r="75" spans="1:4" x14ac:dyDescent="0.25">
      <c r="A75" s="16">
        <f t="shared" ca="1" si="3"/>
        <v>49</v>
      </c>
      <c r="B75" s="18">
        <f t="shared" ca="1" si="0"/>
        <v>0</v>
      </c>
      <c r="C75" s="18">
        <f t="shared" ca="1" si="1"/>
        <v>0</v>
      </c>
      <c r="D75" s="18">
        <f t="shared" ca="1" si="2"/>
        <v>0</v>
      </c>
    </row>
    <row r="76" spans="1:4" x14ac:dyDescent="0.25">
      <c r="A76" s="16">
        <f t="shared" ca="1" si="3"/>
        <v>50</v>
      </c>
      <c r="B76" s="18">
        <f t="shared" ca="1" si="0"/>
        <v>0</v>
      </c>
      <c r="C76" s="18">
        <f t="shared" ca="1" si="1"/>
        <v>0</v>
      </c>
      <c r="D76" s="18">
        <f t="shared" ca="1" si="2"/>
        <v>0</v>
      </c>
    </row>
    <row r="77" spans="1:4" x14ac:dyDescent="0.25">
      <c r="A77" s="16">
        <f t="shared" ca="1" si="3"/>
        <v>51</v>
      </c>
      <c r="B77" s="18">
        <f t="shared" ca="1" si="0"/>
        <v>0</v>
      </c>
      <c r="C77" s="18">
        <f t="shared" ca="1" si="1"/>
        <v>0</v>
      </c>
      <c r="D77" s="18">
        <f t="shared" ca="1" si="2"/>
        <v>0</v>
      </c>
    </row>
    <row r="78" spans="1:4" x14ac:dyDescent="0.25">
      <c r="A78" s="16">
        <f t="shared" ca="1" si="3"/>
        <v>52</v>
      </c>
      <c r="B78" s="18">
        <f t="shared" ca="1" si="0"/>
        <v>0</v>
      </c>
      <c r="C78" s="18">
        <f t="shared" ca="1" si="1"/>
        <v>0</v>
      </c>
      <c r="D78" s="18">
        <f t="shared" ca="1" si="2"/>
        <v>0</v>
      </c>
    </row>
    <row r="79" spans="1:4" x14ac:dyDescent="0.25">
      <c r="A79" s="16">
        <f t="shared" ca="1" si="3"/>
        <v>53</v>
      </c>
      <c r="B79" s="18">
        <f t="shared" ca="1" si="0"/>
        <v>0</v>
      </c>
      <c r="C79" s="18">
        <f t="shared" ca="1" si="1"/>
        <v>0</v>
      </c>
      <c r="D79" s="18">
        <f t="shared" ca="1" si="2"/>
        <v>0</v>
      </c>
    </row>
    <row r="80" spans="1:4" x14ac:dyDescent="0.25">
      <c r="A80" s="16">
        <f t="shared" ca="1" si="3"/>
        <v>54</v>
      </c>
      <c r="B80" s="18">
        <f t="shared" ca="1" si="0"/>
        <v>0</v>
      </c>
      <c r="C80" s="18">
        <f t="shared" ca="1" si="1"/>
        <v>0</v>
      </c>
      <c r="D80" s="18">
        <f t="shared" ca="1" si="2"/>
        <v>0</v>
      </c>
    </row>
    <row r="81" spans="1:4" x14ac:dyDescent="0.25">
      <c r="A81" s="16">
        <f t="shared" ca="1" si="3"/>
        <v>55</v>
      </c>
      <c r="B81" s="18">
        <f t="shared" ca="1" si="0"/>
        <v>0</v>
      </c>
      <c r="C81" s="18">
        <f t="shared" ca="1" si="1"/>
        <v>0</v>
      </c>
      <c r="D81" s="18">
        <f t="shared" ca="1" si="2"/>
        <v>0</v>
      </c>
    </row>
    <row r="82" spans="1:4" x14ac:dyDescent="0.25">
      <c r="A82" s="16">
        <f t="shared" ca="1" si="3"/>
        <v>56</v>
      </c>
      <c r="B82" s="18">
        <f t="shared" ca="1" si="0"/>
        <v>0</v>
      </c>
      <c r="C82" s="18">
        <f t="shared" ca="1" si="1"/>
        <v>0</v>
      </c>
      <c r="D82" s="18">
        <f t="shared" ca="1" si="2"/>
        <v>0</v>
      </c>
    </row>
    <row r="83" spans="1:4" x14ac:dyDescent="0.25">
      <c r="A83" s="16">
        <f t="shared" ca="1" si="3"/>
        <v>57</v>
      </c>
      <c r="B83" s="18">
        <f t="shared" ca="1" si="0"/>
        <v>0</v>
      </c>
      <c r="C83" s="18">
        <f t="shared" ca="1" si="1"/>
        <v>0</v>
      </c>
      <c r="D83" s="18">
        <f t="shared" ca="1" si="2"/>
        <v>0</v>
      </c>
    </row>
    <row r="84" spans="1:4" x14ac:dyDescent="0.25">
      <c r="A84" s="16">
        <f t="shared" ca="1" si="3"/>
        <v>58</v>
      </c>
      <c r="B84" s="18">
        <f t="shared" ca="1" si="0"/>
        <v>0</v>
      </c>
      <c r="C84" s="18">
        <f t="shared" ca="1" si="1"/>
        <v>0</v>
      </c>
      <c r="D84" s="18">
        <f t="shared" ca="1" si="2"/>
        <v>0</v>
      </c>
    </row>
    <row r="85" spans="1:4" x14ac:dyDescent="0.25">
      <c r="A85" s="16">
        <f t="shared" ca="1" si="3"/>
        <v>59</v>
      </c>
      <c r="B85" s="18">
        <f t="shared" ca="1" si="0"/>
        <v>0</v>
      </c>
      <c r="C85" s="18">
        <f t="shared" ca="1" si="1"/>
        <v>0</v>
      </c>
      <c r="D85" s="18">
        <f t="shared" ca="1" si="2"/>
        <v>0</v>
      </c>
    </row>
    <row r="86" spans="1:4" x14ac:dyDescent="0.25">
      <c r="A86" s="16">
        <f t="shared" ca="1" si="3"/>
        <v>60</v>
      </c>
      <c r="B86" s="18">
        <f t="shared" ca="1" si="0"/>
        <v>0</v>
      </c>
      <c r="C86" s="18">
        <f t="shared" ca="1" si="1"/>
        <v>0</v>
      </c>
      <c r="D86" s="18">
        <f t="shared" ca="1" si="2"/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4E42-9BD6-4B51-BB07-FCD37C423D7D}">
  <dimension ref="A1:K48"/>
  <sheetViews>
    <sheetView showGridLines="0" zoomScaleNormal="100" workbookViewId="0">
      <selection activeCell="H19" sqref="H19"/>
    </sheetView>
  </sheetViews>
  <sheetFormatPr defaultColWidth="8.7109375" defaultRowHeight="15" x14ac:dyDescent="0.25"/>
  <cols>
    <col min="1" max="1" width="40" customWidth="1"/>
    <col min="2" max="2" width="16" customWidth="1"/>
    <col min="3" max="3" width="3" customWidth="1"/>
    <col min="4" max="4" width="5" customWidth="1"/>
    <col min="5" max="5" width="16" customWidth="1"/>
    <col min="6" max="6" width="13" customWidth="1"/>
    <col min="7" max="7" width="14" customWidth="1"/>
    <col min="8" max="8" width="13" customWidth="1"/>
    <col min="9" max="9" width="14" customWidth="1"/>
    <col min="10" max="11" width="15" customWidth="1"/>
  </cols>
  <sheetData>
    <row r="1" spans="1:11" ht="24" customHeight="1" x14ac:dyDescent="0.25">
      <c r="A1" s="1" t="s">
        <v>50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51</v>
      </c>
    </row>
    <row r="3" spans="1:11" x14ac:dyDescent="0.25">
      <c r="D3" s="24" t="s">
        <v>52</v>
      </c>
    </row>
    <row r="4" spans="1:11" x14ac:dyDescent="0.25">
      <c r="A4" s="4" t="s">
        <v>53</v>
      </c>
      <c r="B4" s="5"/>
      <c r="D4" s="15" t="s">
        <v>54</v>
      </c>
      <c r="E4" s="15" t="s">
        <v>55</v>
      </c>
      <c r="F4" s="15" t="s">
        <v>56</v>
      </c>
      <c r="G4" s="15" t="s">
        <v>57</v>
      </c>
    </row>
    <row r="5" spans="1:11" x14ac:dyDescent="0.25">
      <c r="A5" s="6" t="s">
        <v>58</v>
      </c>
      <c r="B5" s="20">
        <v>1000000</v>
      </c>
      <c r="D5" s="16">
        <v>0</v>
      </c>
      <c r="E5" s="18">
        <f t="shared" ref="E5:E25" ca="1" si="0">IF(D5=0,-$B$5,0)+IF(AND(D5&gt;=1,D5&lt;=$B$6),$B$7,0)+IF(D5=$B$6,$B$8,0)</f>
        <v>-1000000</v>
      </c>
      <c r="F5" s="19">
        <f t="shared" ref="F5:F25" ca="1" si="1">1/(1+$B$9)^D5</f>
        <v>1</v>
      </c>
      <c r="G5" s="18">
        <f t="shared" ref="G5:G25" ca="1" si="2">E5*F5</f>
        <v>-1000000</v>
      </c>
    </row>
    <row r="6" spans="1:11" x14ac:dyDescent="0.25">
      <c r="A6" s="6" t="s">
        <v>59</v>
      </c>
      <c r="B6" s="21">
        <v>7</v>
      </c>
      <c r="D6" s="16">
        <f t="shared" ref="D6:D25" ca="1" si="3">D5+1</f>
        <v>1</v>
      </c>
      <c r="E6" s="18">
        <f t="shared" ca="1" si="0"/>
        <v>220000</v>
      </c>
      <c r="F6" s="19">
        <f t="shared" ca="1" si="1"/>
        <v>0.90909090909090895</v>
      </c>
      <c r="G6" s="18">
        <f t="shared" ca="1" si="2"/>
        <v>200000</v>
      </c>
    </row>
    <row r="7" spans="1:11" x14ac:dyDescent="0.25">
      <c r="A7" s="6" t="s">
        <v>60</v>
      </c>
      <c r="B7" s="20">
        <v>220000</v>
      </c>
      <c r="D7" s="16">
        <f t="shared" ca="1" si="3"/>
        <v>2</v>
      </c>
      <c r="E7" s="18">
        <f t="shared" ca="1" si="0"/>
        <v>220000</v>
      </c>
      <c r="F7" s="19">
        <f t="shared" ca="1" si="1"/>
        <v>0.82644628099173501</v>
      </c>
      <c r="G7" s="18">
        <f t="shared" ca="1" si="2"/>
        <v>181818.181818182</v>
      </c>
    </row>
    <row r="8" spans="1:11" x14ac:dyDescent="0.25">
      <c r="A8" s="6" t="s">
        <v>61</v>
      </c>
      <c r="B8" s="20">
        <v>100000</v>
      </c>
      <c r="D8" s="16">
        <f t="shared" ca="1" si="3"/>
        <v>3</v>
      </c>
      <c r="E8" s="18">
        <f t="shared" ca="1" si="0"/>
        <v>220000</v>
      </c>
      <c r="F8" s="19">
        <f t="shared" ca="1" si="1"/>
        <v>0.75131480090157798</v>
      </c>
      <c r="G8" s="18">
        <f t="shared" ca="1" si="2"/>
        <v>165289.25619834699</v>
      </c>
    </row>
    <row r="9" spans="1:11" x14ac:dyDescent="0.25">
      <c r="A9" s="6" t="s">
        <v>62</v>
      </c>
      <c r="B9" s="12">
        <v>0.1</v>
      </c>
      <c r="D9" s="16">
        <f t="shared" ca="1" si="3"/>
        <v>4</v>
      </c>
      <c r="E9" s="18">
        <f t="shared" ca="1" si="0"/>
        <v>220000</v>
      </c>
      <c r="F9" s="19">
        <f t="shared" ca="1" si="1"/>
        <v>0.68301345536507097</v>
      </c>
      <c r="G9" s="18">
        <f t="shared" ca="1" si="2"/>
        <v>150262.960180316</v>
      </c>
    </row>
    <row r="10" spans="1:11" x14ac:dyDescent="0.25">
      <c r="D10" s="16">
        <f t="shared" ca="1" si="3"/>
        <v>5</v>
      </c>
      <c r="E10" s="18">
        <f t="shared" ca="1" si="0"/>
        <v>220000</v>
      </c>
      <c r="F10" s="19">
        <f t="shared" ca="1" si="1"/>
        <v>0.62092132305915504</v>
      </c>
      <c r="G10" s="18">
        <f t="shared" ca="1" si="2"/>
        <v>136602.69107301399</v>
      </c>
    </row>
    <row r="11" spans="1:11" x14ac:dyDescent="0.25">
      <c r="A11" s="6" t="s">
        <v>63</v>
      </c>
      <c r="B11" s="11">
        <f ca="1">SUM(G5:G25)</f>
        <v>122367.951715515</v>
      </c>
      <c r="D11" s="16">
        <f t="shared" ca="1" si="3"/>
        <v>6</v>
      </c>
      <c r="E11" s="18">
        <f t="shared" ca="1" si="0"/>
        <v>220000</v>
      </c>
      <c r="F11" s="19">
        <f t="shared" ca="1" si="1"/>
        <v>0.564473930053777</v>
      </c>
      <c r="G11" s="18">
        <f t="shared" ca="1" si="2"/>
        <v>124184.26461183099</v>
      </c>
    </row>
    <row r="12" spans="1:11" x14ac:dyDescent="0.25">
      <c r="A12" s="6" t="s">
        <v>64</v>
      </c>
      <c r="B12" s="22">
        <f ca="1">IRR(E5:E25)</f>
        <v>0.13476047307889799</v>
      </c>
      <c r="D12" s="16">
        <f t="shared" ca="1" si="3"/>
        <v>7</v>
      </c>
      <c r="E12" s="18">
        <f t="shared" ca="1" si="0"/>
        <v>320000</v>
      </c>
      <c r="F12" s="19">
        <f t="shared" ca="1" si="1"/>
        <v>0.51315811823070701</v>
      </c>
      <c r="G12" s="18">
        <f t="shared" ca="1" si="2"/>
        <v>164210.597833826</v>
      </c>
    </row>
    <row r="13" spans="1:11" x14ac:dyDescent="0.25">
      <c r="A13" s="6" t="s">
        <v>65</v>
      </c>
      <c r="B13" s="25">
        <f ca="1">(B11+B5)/B5</f>
        <v>1.1223679517155201</v>
      </c>
      <c r="D13" s="16">
        <f t="shared" ca="1" si="3"/>
        <v>8</v>
      </c>
      <c r="E13" s="18">
        <f t="shared" ca="1" si="0"/>
        <v>0</v>
      </c>
      <c r="F13" s="19">
        <f t="shared" ca="1" si="1"/>
        <v>0.46650738020973298</v>
      </c>
      <c r="G13" s="18">
        <f t="shared" ca="1" si="2"/>
        <v>0</v>
      </c>
    </row>
    <row r="14" spans="1:11" x14ac:dyDescent="0.25">
      <c r="A14" s="13" t="s">
        <v>17</v>
      </c>
      <c r="B14" s="14" t="str">
        <f ca="1">IF(AND(B11&gt;0,B12&gt;B9),"Invest","Pass")</f>
        <v>Invest</v>
      </c>
      <c r="D14" s="16">
        <f t="shared" ca="1" si="3"/>
        <v>9</v>
      </c>
      <c r="E14" s="18">
        <f t="shared" ca="1" si="0"/>
        <v>0</v>
      </c>
      <c r="F14" s="19">
        <f t="shared" ca="1" si="1"/>
        <v>0.424097618372485</v>
      </c>
      <c r="G14" s="18">
        <f t="shared" ca="1" si="2"/>
        <v>0</v>
      </c>
    </row>
    <row r="15" spans="1:11" x14ac:dyDescent="0.25">
      <c r="D15" s="16">
        <f t="shared" ca="1" si="3"/>
        <v>10</v>
      </c>
      <c r="E15" s="18">
        <f t="shared" ca="1" si="0"/>
        <v>0</v>
      </c>
      <c r="F15" s="19">
        <f t="shared" ca="1" si="1"/>
        <v>0.38554328942953098</v>
      </c>
      <c r="G15" s="18">
        <f t="shared" ca="1" si="2"/>
        <v>0</v>
      </c>
    </row>
    <row r="16" spans="1:11" x14ac:dyDescent="0.25">
      <c r="A16" s="4" t="s">
        <v>66</v>
      </c>
      <c r="B16" s="5"/>
      <c r="D16" s="16">
        <f t="shared" ca="1" si="3"/>
        <v>11</v>
      </c>
      <c r="E16" s="18">
        <f t="shared" ca="1" si="0"/>
        <v>0</v>
      </c>
      <c r="F16" s="19">
        <f t="shared" ca="1" si="1"/>
        <v>0.35049389948139198</v>
      </c>
      <c r="G16" s="18">
        <f t="shared" ca="1" si="2"/>
        <v>0</v>
      </c>
    </row>
    <row r="17" spans="1:11" x14ac:dyDescent="0.25">
      <c r="A17" s="6" t="s">
        <v>67</v>
      </c>
      <c r="B17" s="12">
        <v>7.4999999999999997E-2</v>
      </c>
      <c r="D17" s="16">
        <f t="shared" ca="1" si="3"/>
        <v>12</v>
      </c>
      <c r="E17" s="18">
        <f t="shared" ca="1" si="0"/>
        <v>0</v>
      </c>
      <c r="F17" s="19">
        <f t="shared" ca="1" si="1"/>
        <v>0.31863081771035701</v>
      </c>
      <c r="G17" s="18">
        <f t="shared" ca="1" si="2"/>
        <v>0</v>
      </c>
    </row>
    <row r="18" spans="1:11" x14ac:dyDescent="0.25">
      <c r="A18" s="6" t="s">
        <v>68</v>
      </c>
      <c r="B18" s="21">
        <v>7</v>
      </c>
      <c r="D18" s="16">
        <f t="shared" ca="1" si="3"/>
        <v>13</v>
      </c>
      <c r="E18" s="18">
        <f t="shared" ca="1" si="0"/>
        <v>0</v>
      </c>
      <c r="F18" s="19">
        <f t="shared" ca="1" si="1"/>
        <v>0.28966437973668802</v>
      </c>
      <c r="G18" s="18">
        <f t="shared" ca="1" si="2"/>
        <v>0</v>
      </c>
    </row>
    <row r="19" spans="1:11" x14ac:dyDescent="0.25">
      <c r="A19" s="6" t="s">
        <v>69</v>
      </c>
      <c r="B19" s="12">
        <v>0.21</v>
      </c>
      <c r="D19" s="16">
        <f t="shared" ca="1" si="3"/>
        <v>14</v>
      </c>
      <c r="E19" s="18">
        <f t="shared" ca="1" si="0"/>
        <v>0</v>
      </c>
      <c r="F19" s="19">
        <f t="shared" ca="1" si="1"/>
        <v>0.26333125430608001</v>
      </c>
      <c r="G19" s="18">
        <f t="shared" ca="1" si="2"/>
        <v>0</v>
      </c>
    </row>
    <row r="20" spans="1:11" x14ac:dyDescent="0.25">
      <c r="A20" s="6" t="s">
        <v>70</v>
      </c>
      <c r="B20" s="12">
        <v>0.05</v>
      </c>
      <c r="D20" s="16">
        <f t="shared" ca="1" si="3"/>
        <v>15</v>
      </c>
      <c r="E20" s="18">
        <f t="shared" ca="1" si="0"/>
        <v>0</v>
      </c>
      <c r="F20" s="19">
        <f t="shared" ca="1" si="1"/>
        <v>0.239392049369163</v>
      </c>
      <c r="G20" s="18">
        <f t="shared" ca="1" si="2"/>
        <v>0</v>
      </c>
    </row>
    <row r="21" spans="1:11" x14ac:dyDescent="0.25">
      <c r="D21" s="16">
        <f t="shared" ca="1" si="3"/>
        <v>16</v>
      </c>
      <c r="E21" s="18">
        <f t="shared" ca="1" si="0"/>
        <v>0</v>
      </c>
      <c r="F21" s="19">
        <f t="shared" ca="1" si="1"/>
        <v>0.217629135790149</v>
      </c>
      <c r="G21" s="18">
        <f t="shared" ca="1" si="2"/>
        <v>0</v>
      </c>
    </row>
    <row r="22" spans="1:11" x14ac:dyDescent="0.25">
      <c r="A22" s="6" t="s">
        <v>71</v>
      </c>
      <c r="B22" s="11">
        <f ca="1">PMT(B17,B18,-B5)</f>
        <v>188800.315396013</v>
      </c>
      <c r="D22" s="16">
        <f t="shared" ca="1" si="3"/>
        <v>17</v>
      </c>
      <c r="E22" s="18">
        <f t="shared" ca="1" si="0"/>
        <v>0</v>
      </c>
      <c r="F22" s="19">
        <f t="shared" ca="1" si="1"/>
        <v>0.197844668900135</v>
      </c>
      <c r="G22" s="18">
        <f t="shared" ca="1" si="2"/>
        <v>0</v>
      </c>
    </row>
    <row r="23" spans="1:11" x14ac:dyDescent="0.25">
      <c r="A23" s="6" t="s">
        <v>72</v>
      </c>
      <c r="B23" s="22">
        <f ca="1">B17*(1-B19)</f>
        <v>5.9249999999999997E-2</v>
      </c>
      <c r="D23" s="16">
        <f t="shared" ca="1" si="3"/>
        <v>18</v>
      </c>
      <c r="E23" s="18">
        <f t="shared" ca="1" si="0"/>
        <v>0</v>
      </c>
      <c r="F23" s="19">
        <f t="shared" ca="1" si="1"/>
        <v>0.179858789909214</v>
      </c>
      <c r="G23" s="18">
        <f t="shared" ca="1" si="2"/>
        <v>0</v>
      </c>
    </row>
    <row r="24" spans="1:11" x14ac:dyDescent="0.25">
      <c r="A24" s="6" t="s">
        <v>73</v>
      </c>
      <c r="B24" s="11">
        <f ca="1">B5</f>
        <v>1000000</v>
      </c>
      <c r="D24" s="16">
        <f t="shared" ca="1" si="3"/>
        <v>19</v>
      </c>
      <c r="E24" s="18">
        <f t="shared" ca="1" si="0"/>
        <v>0</v>
      </c>
      <c r="F24" s="19">
        <f t="shared" ca="1" si="1"/>
        <v>0.16350799082655801</v>
      </c>
      <c r="G24" s="18">
        <f t="shared" ca="1" si="2"/>
        <v>0</v>
      </c>
    </row>
    <row r="25" spans="1:11" x14ac:dyDescent="0.25">
      <c r="A25" s="6" t="s">
        <v>74</v>
      </c>
      <c r="B25" s="11">
        <f ca="1">SUM(K29:K48)</f>
        <v>1034213.57529827</v>
      </c>
      <c r="D25" s="16">
        <f t="shared" ca="1" si="3"/>
        <v>20</v>
      </c>
      <c r="E25" s="18">
        <f t="shared" ca="1" si="0"/>
        <v>0</v>
      </c>
      <c r="F25" s="19">
        <f t="shared" ca="1" si="1"/>
        <v>0.14864362802414299</v>
      </c>
      <c r="G25" s="18">
        <f t="shared" ca="1" si="2"/>
        <v>0</v>
      </c>
    </row>
    <row r="26" spans="1:11" x14ac:dyDescent="0.25">
      <c r="A26" s="6" t="s">
        <v>75</v>
      </c>
      <c r="B26" s="11">
        <f ca="1">B24-B25</f>
        <v>-34213.575298270604</v>
      </c>
    </row>
    <row r="27" spans="1:11" x14ac:dyDescent="0.25">
      <c r="A27" s="13" t="s">
        <v>17</v>
      </c>
      <c r="B27" s="14" t="str">
        <f ca="1">IF(B25&lt;B24,"Borrow: keep the cash working","Pay cash")</f>
        <v>Pay cash</v>
      </c>
      <c r="D27" s="24" t="s">
        <v>76</v>
      </c>
    </row>
    <row r="28" spans="1:11" ht="30" customHeight="1" x14ac:dyDescent="0.25">
      <c r="D28" s="15" t="s">
        <v>54</v>
      </c>
      <c r="E28" s="15" t="s">
        <v>77</v>
      </c>
      <c r="F28" s="15" t="s">
        <v>24</v>
      </c>
      <c r="G28" s="15" t="s">
        <v>23</v>
      </c>
      <c r="H28" s="15" t="s">
        <v>78</v>
      </c>
      <c r="I28" s="15" t="s">
        <v>79</v>
      </c>
      <c r="J28" s="15" t="s">
        <v>80</v>
      </c>
      <c r="K28" s="15" t="s">
        <v>81</v>
      </c>
    </row>
    <row r="29" spans="1:11" ht="15" customHeight="1" x14ac:dyDescent="0.25">
      <c r="A29" s="26" t="s">
        <v>82</v>
      </c>
      <c r="B29" s="26"/>
      <c r="D29" s="16">
        <v>1</v>
      </c>
      <c r="E29" s="18">
        <f ca="1">$B$5</f>
        <v>1000000</v>
      </c>
      <c r="F29" s="18">
        <f t="shared" ref="F29:F48" ca="1" si="4">IF(D29&lt;=$B$18,$B$22,0)</f>
        <v>188800.315396013</v>
      </c>
      <c r="G29" s="18">
        <f t="shared" ref="G29:G48" ca="1" si="5">E29*$B$17</f>
        <v>75000</v>
      </c>
      <c r="H29" s="18">
        <f t="shared" ref="H29:H48" ca="1" si="6">F29-G29</f>
        <v>113800.315396013</v>
      </c>
      <c r="I29" s="18">
        <f t="shared" ref="I29:I48" ca="1" si="7">E29-H29</f>
        <v>886199.68460398703</v>
      </c>
      <c r="J29" s="18">
        <f t="shared" ref="J29:J48" ca="1" si="8">F29-G29*$B$19</f>
        <v>173050.315396013</v>
      </c>
      <c r="K29" s="18">
        <f t="shared" ref="K29:K48" ca="1" si="9">J29/(1+$B$20)^D29</f>
        <v>164809.824186679</v>
      </c>
    </row>
    <row r="30" spans="1:11" x14ac:dyDescent="0.25">
      <c r="A30" s="26"/>
      <c r="B30" s="26"/>
      <c r="D30" s="16">
        <f t="shared" ref="D30:D48" ca="1" si="10">D29+1</f>
        <v>2</v>
      </c>
      <c r="E30" s="18">
        <f t="shared" ref="E30:E48" ca="1" si="11">I29</f>
        <v>886199.68460398703</v>
      </c>
      <c r="F30" s="18">
        <f t="shared" ca="1" si="4"/>
        <v>188800.315396013</v>
      </c>
      <c r="G30" s="18">
        <f t="shared" ca="1" si="5"/>
        <v>66464.976345299001</v>
      </c>
      <c r="H30" s="18">
        <f t="shared" ca="1" si="6"/>
        <v>122335.339050714</v>
      </c>
      <c r="I30" s="18">
        <f t="shared" ca="1" si="7"/>
        <v>763864.34555327403</v>
      </c>
      <c r="J30" s="18">
        <f t="shared" ca="1" si="8"/>
        <v>174842.67036349999</v>
      </c>
      <c r="K30" s="18">
        <f t="shared" ca="1" si="9"/>
        <v>158587.456112018</v>
      </c>
    </row>
    <row r="31" spans="1:11" x14ac:dyDescent="0.25">
      <c r="A31" s="26"/>
      <c r="B31" s="26"/>
      <c r="D31" s="16">
        <f t="shared" ca="1" si="10"/>
        <v>3</v>
      </c>
      <c r="E31" s="18">
        <f t="shared" ca="1" si="11"/>
        <v>763864.34555327403</v>
      </c>
      <c r="F31" s="18">
        <f t="shared" ca="1" si="4"/>
        <v>188800.315396013</v>
      </c>
      <c r="G31" s="18">
        <f t="shared" ca="1" si="5"/>
        <v>57289.825916495502</v>
      </c>
      <c r="H31" s="18">
        <f t="shared" ca="1" si="6"/>
        <v>131510.48947951701</v>
      </c>
      <c r="I31" s="18">
        <f t="shared" ca="1" si="7"/>
        <v>632353.856073756</v>
      </c>
      <c r="J31" s="18">
        <f t="shared" ca="1" si="8"/>
        <v>176769.451953549</v>
      </c>
      <c r="K31" s="18">
        <f t="shared" ca="1" si="9"/>
        <v>152700.098869279</v>
      </c>
    </row>
    <row r="32" spans="1:11" x14ac:dyDescent="0.25">
      <c r="A32" s="26"/>
      <c r="B32" s="26"/>
      <c r="D32" s="16">
        <f t="shared" ca="1" si="10"/>
        <v>4</v>
      </c>
      <c r="E32" s="18">
        <f t="shared" ca="1" si="11"/>
        <v>632353.856073756</v>
      </c>
      <c r="F32" s="18">
        <f t="shared" ca="1" si="4"/>
        <v>188800.315396013</v>
      </c>
      <c r="G32" s="18">
        <f t="shared" ca="1" si="5"/>
        <v>47426.539205531699</v>
      </c>
      <c r="H32" s="18">
        <f t="shared" ca="1" si="6"/>
        <v>141373.776190481</v>
      </c>
      <c r="I32" s="18">
        <f t="shared" ca="1" si="7"/>
        <v>490980.07988327497</v>
      </c>
      <c r="J32" s="18">
        <f t="shared" ca="1" si="8"/>
        <v>178840.74216285101</v>
      </c>
      <c r="K32" s="18">
        <f t="shared" ca="1" si="9"/>
        <v>147132.72117099399</v>
      </c>
    </row>
    <row r="33" spans="1:11" x14ac:dyDescent="0.25">
      <c r="A33" s="26"/>
      <c r="B33" s="26"/>
      <c r="D33" s="16">
        <f t="shared" ca="1" si="10"/>
        <v>5</v>
      </c>
      <c r="E33" s="18">
        <f t="shared" ca="1" si="11"/>
        <v>490980.07988327497</v>
      </c>
      <c r="F33" s="18">
        <f t="shared" ca="1" si="4"/>
        <v>188800.315396013</v>
      </c>
      <c r="G33" s="18">
        <f t="shared" ca="1" si="5"/>
        <v>36823.5059912457</v>
      </c>
      <c r="H33" s="18">
        <f t="shared" ca="1" si="6"/>
        <v>151976.809404767</v>
      </c>
      <c r="I33" s="18">
        <f t="shared" ca="1" si="7"/>
        <v>339003.27047850803</v>
      </c>
      <c r="J33" s="18">
        <f t="shared" ca="1" si="8"/>
        <v>181067.37913785101</v>
      </c>
      <c r="K33" s="18">
        <f t="shared" ca="1" si="9"/>
        <v>141871.02944837199</v>
      </c>
    </row>
    <row r="34" spans="1:11" x14ac:dyDescent="0.25">
      <c r="A34" s="26"/>
      <c r="B34" s="26"/>
      <c r="D34" s="16">
        <f t="shared" ca="1" si="10"/>
        <v>6</v>
      </c>
      <c r="E34" s="18">
        <f t="shared" ca="1" si="11"/>
        <v>339003.27047850803</v>
      </c>
      <c r="F34" s="18">
        <f t="shared" ca="1" si="4"/>
        <v>188800.315396013</v>
      </c>
      <c r="G34" s="18">
        <f t="shared" ca="1" si="5"/>
        <v>25425.245285888101</v>
      </c>
      <c r="H34" s="18">
        <f t="shared" ca="1" si="6"/>
        <v>163375.070110125</v>
      </c>
      <c r="I34" s="18">
        <f t="shared" ca="1" si="7"/>
        <v>175628.20036838399</v>
      </c>
      <c r="J34" s="18">
        <f t="shared" ca="1" si="8"/>
        <v>183461.01388597599</v>
      </c>
      <c r="K34" s="18">
        <f t="shared" ca="1" si="9"/>
        <v>136901.433244282</v>
      </c>
    </row>
    <row r="35" spans="1:11" x14ac:dyDescent="0.25">
      <c r="A35" s="26"/>
      <c r="B35" s="26"/>
      <c r="D35" s="16">
        <f t="shared" ca="1" si="10"/>
        <v>7</v>
      </c>
      <c r="E35" s="18">
        <f t="shared" ca="1" si="11"/>
        <v>175628.20036838399</v>
      </c>
      <c r="F35" s="18">
        <f t="shared" ca="1" si="4"/>
        <v>188800.315396013</v>
      </c>
      <c r="G35" s="18">
        <f t="shared" ca="1" si="5"/>
        <v>13172.115027628801</v>
      </c>
      <c r="H35" s="18">
        <f t="shared" ca="1" si="6"/>
        <v>175628.20036838399</v>
      </c>
      <c r="I35" s="18">
        <f t="shared" ca="1" si="7"/>
        <v>0</v>
      </c>
      <c r="J35" s="18">
        <f t="shared" ca="1" si="8"/>
        <v>186034.171240211</v>
      </c>
      <c r="K35" s="18">
        <f t="shared" ca="1" si="9"/>
        <v>132211.012266648</v>
      </c>
    </row>
    <row r="36" spans="1:11" x14ac:dyDescent="0.25">
      <c r="D36" s="16">
        <f t="shared" ca="1" si="10"/>
        <v>8</v>
      </c>
      <c r="E36" s="18">
        <f t="shared" ca="1" si="11"/>
        <v>0</v>
      </c>
      <c r="F36" s="18">
        <f t="shared" ca="1" si="4"/>
        <v>0</v>
      </c>
      <c r="G36" s="18">
        <f t="shared" ca="1" si="5"/>
        <v>0</v>
      </c>
      <c r="H36" s="18">
        <f t="shared" ca="1" si="6"/>
        <v>0</v>
      </c>
      <c r="I36" s="18">
        <f t="shared" ca="1" si="7"/>
        <v>0</v>
      </c>
      <c r="J36" s="18">
        <f t="shared" ca="1" si="8"/>
        <v>0</v>
      </c>
      <c r="K36" s="18">
        <f t="shared" ca="1" si="9"/>
        <v>0</v>
      </c>
    </row>
    <row r="37" spans="1:11" x14ac:dyDescent="0.25">
      <c r="D37" s="16">
        <f t="shared" ca="1" si="10"/>
        <v>9</v>
      </c>
      <c r="E37" s="18">
        <f t="shared" ca="1" si="11"/>
        <v>0</v>
      </c>
      <c r="F37" s="18">
        <f t="shared" ca="1" si="4"/>
        <v>0</v>
      </c>
      <c r="G37" s="18">
        <f t="shared" ca="1" si="5"/>
        <v>0</v>
      </c>
      <c r="H37" s="18">
        <f t="shared" ca="1" si="6"/>
        <v>0</v>
      </c>
      <c r="I37" s="18">
        <f t="shared" ca="1" si="7"/>
        <v>0</v>
      </c>
      <c r="J37" s="18">
        <f t="shared" ca="1" si="8"/>
        <v>0</v>
      </c>
      <c r="K37" s="18">
        <f t="shared" ca="1" si="9"/>
        <v>0</v>
      </c>
    </row>
    <row r="38" spans="1:11" x14ac:dyDescent="0.25">
      <c r="D38" s="16">
        <f t="shared" ca="1" si="10"/>
        <v>10</v>
      </c>
      <c r="E38" s="18">
        <f t="shared" ca="1" si="11"/>
        <v>0</v>
      </c>
      <c r="F38" s="18">
        <f t="shared" ca="1" si="4"/>
        <v>0</v>
      </c>
      <c r="G38" s="18">
        <f t="shared" ca="1" si="5"/>
        <v>0</v>
      </c>
      <c r="H38" s="18">
        <f t="shared" ca="1" si="6"/>
        <v>0</v>
      </c>
      <c r="I38" s="18">
        <f t="shared" ca="1" si="7"/>
        <v>0</v>
      </c>
      <c r="J38" s="18">
        <f t="shared" ca="1" si="8"/>
        <v>0</v>
      </c>
      <c r="K38" s="18">
        <f t="shared" ca="1" si="9"/>
        <v>0</v>
      </c>
    </row>
    <row r="39" spans="1:11" x14ac:dyDescent="0.25">
      <c r="D39" s="16">
        <f t="shared" ca="1" si="10"/>
        <v>11</v>
      </c>
      <c r="E39" s="18">
        <f t="shared" ca="1" si="11"/>
        <v>0</v>
      </c>
      <c r="F39" s="18">
        <f t="shared" ca="1" si="4"/>
        <v>0</v>
      </c>
      <c r="G39" s="18">
        <f t="shared" ca="1" si="5"/>
        <v>0</v>
      </c>
      <c r="H39" s="18">
        <f t="shared" ca="1" si="6"/>
        <v>0</v>
      </c>
      <c r="I39" s="18">
        <f t="shared" ca="1" si="7"/>
        <v>0</v>
      </c>
      <c r="J39" s="18">
        <f t="shared" ca="1" si="8"/>
        <v>0</v>
      </c>
      <c r="K39" s="18">
        <f t="shared" ca="1" si="9"/>
        <v>0</v>
      </c>
    </row>
    <row r="40" spans="1:11" x14ac:dyDescent="0.25">
      <c r="D40" s="16">
        <f t="shared" ca="1" si="10"/>
        <v>12</v>
      </c>
      <c r="E40" s="18">
        <f t="shared" ca="1" si="11"/>
        <v>0</v>
      </c>
      <c r="F40" s="18">
        <f t="shared" ca="1" si="4"/>
        <v>0</v>
      </c>
      <c r="G40" s="18">
        <f t="shared" ca="1" si="5"/>
        <v>0</v>
      </c>
      <c r="H40" s="18">
        <f t="shared" ca="1" si="6"/>
        <v>0</v>
      </c>
      <c r="I40" s="18">
        <f t="shared" ca="1" si="7"/>
        <v>0</v>
      </c>
      <c r="J40" s="18">
        <f t="shared" ca="1" si="8"/>
        <v>0</v>
      </c>
      <c r="K40" s="18">
        <f t="shared" ca="1" si="9"/>
        <v>0</v>
      </c>
    </row>
    <row r="41" spans="1:11" x14ac:dyDescent="0.25">
      <c r="D41" s="16">
        <f t="shared" ca="1" si="10"/>
        <v>13</v>
      </c>
      <c r="E41" s="18">
        <f t="shared" ca="1" si="11"/>
        <v>0</v>
      </c>
      <c r="F41" s="18">
        <f t="shared" ca="1" si="4"/>
        <v>0</v>
      </c>
      <c r="G41" s="18">
        <f t="shared" ca="1" si="5"/>
        <v>0</v>
      </c>
      <c r="H41" s="18">
        <f t="shared" ca="1" si="6"/>
        <v>0</v>
      </c>
      <c r="I41" s="18">
        <f t="shared" ca="1" si="7"/>
        <v>0</v>
      </c>
      <c r="J41" s="18">
        <f t="shared" ca="1" si="8"/>
        <v>0</v>
      </c>
      <c r="K41" s="18">
        <f t="shared" ca="1" si="9"/>
        <v>0</v>
      </c>
    </row>
    <row r="42" spans="1:11" x14ac:dyDescent="0.25">
      <c r="D42" s="16">
        <f t="shared" ca="1" si="10"/>
        <v>14</v>
      </c>
      <c r="E42" s="18">
        <f t="shared" ca="1" si="11"/>
        <v>0</v>
      </c>
      <c r="F42" s="18">
        <f t="shared" ca="1" si="4"/>
        <v>0</v>
      </c>
      <c r="G42" s="18">
        <f t="shared" ca="1" si="5"/>
        <v>0</v>
      </c>
      <c r="H42" s="18">
        <f t="shared" ca="1" si="6"/>
        <v>0</v>
      </c>
      <c r="I42" s="18">
        <f t="shared" ca="1" si="7"/>
        <v>0</v>
      </c>
      <c r="J42" s="18">
        <f t="shared" ca="1" si="8"/>
        <v>0</v>
      </c>
      <c r="K42" s="18">
        <f t="shared" ca="1" si="9"/>
        <v>0</v>
      </c>
    </row>
    <row r="43" spans="1:11" x14ac:dyDescent="0.25">
      <c r="D43" s="16">
        <f t="shared" ca="1" si="10"/>
        <v>15</v>
      </c>
      <c r="E43" s="18">
        <f t="shared" ca="1" si="11"/>
        <v>0</v>
      </c>
      <c r="F43" s="18">
        <f t="shared" ca="1" si="4"/>
        <v>0</v>
      </c>
      <c r="G43" s="18">
        <f t="shared" ca="1" si="5"/>
        <v>0</v>
      </c>
      <c r="H43" s="18">
        <f t="shared" ca="1" si="6"/>
        <v>0</v>
      </c>
      <c r="I43" s="18">
        <f t="shared" ca="1" si="7"/>
        <v>0</v>
      </c>
      <c r="J43" s="18">
        <f t="shared" ca="1" si="8"/>
        <v>0</v>
      </c>
      <c r="K43" s="18">
        <f t="shared" ca="1" si="9"/>
        <v>0</v>
      </c>
    </row>
    <row r="44" spans="1:11" x14ac:dyDescent="0.25">
      <c r="D44" s="16">
        <f t="shared" ca="1" si="10"/>
        <v>16</v>
      </c>
      <c r="E44" s="18">
        <f t="shared" ca="1" si="11"/>
        <v>0</v>
      </c>
      <c r="F44" s="18">
        <f t="shared" ca="1" si="4"/>
        <v>0</v>
      </c>
      <c r="G44" s="18">
        <f t="shared" ca="1" si="5"/>
        <v>0</v>
      </c>
      <c r="H44" s="18">
        <f t="shared" ca="1" si="6"/>
        <v>0</v>
      </c>
      <c r="I44" s="18">
        <f t="shared" ca="1" si="7"/>
        <v>0</v>
      </c>
      <c r="J44" s="18">
        <f t="shared" ca="1" si="8"/>
        <v>0</v>
      </c>
      <c r="K44" s="18">
        <f t="shared" ca="1" si="9"/>
        <v>0</v>
      </c>
    </row>
    <row r="45" spans="1:11" x14ac:dyDescent="0.25">
      <c r="D45" s="16">
        <f t="shared" ca="1" si="10"/>
        <v>17</v>
      </c>
      <c r="E45" s="18">
        <f t="shared" ca="1" si="11"/>
        <v>0</v>
      </c>
      <c r="F45" s="18">
        <f t="shared" ca="1" si="4"/>
        <v>0</v>
      </c>
      <c r="G45" s="18">
        <f t="shared" ca="1" si="5"/>
        <v>0</v>
      </c>
      <c r="H45" s="18">
        <f t="shared" ca="1" si="6"/>
        <v>0</v>
      </c>
      <c r="I45" s="18">
        <f t="shared" ca="1" si="7"/>
        <v>0</v>
      </c>
      <c r="J45" s="18">
        <f t="shared" ca="1" si="8"/>
        <v>0</v>
      </c>
      <c r="K45" s="18">
        <f t="shared" ca="1" si="9"/>
        <v>0</v>
      </c>
    </row>
    <row r="46" spans="1:11" x14ac:dyDescent="0.25">
      <c r="D46" s="16">
        <f t="shared" ca="1" si="10"/>
        <v>18</v>
      </c>
      <c r="E46" s="18">
        <f t="shared" ca="1" si="11"/>
        <v>0</v>
      </c>
      <c r="F46" s="18">
        <f t="shared" ca="1" si="4"/>
        <v>0</v>
      </c>
      <c r="G46" s="18">
        <f t="shared" ca="1" si="5"/>
        <v>0</v>
      </c>
      <c r="H46" s="18">
        <f t="shared" ca="1" si="6"/>
        <v>0</v>
      </c>
      <c r="I46" s="18">
        <f t="shared" ca="1" si="7"/>
        <v>0</v>
      </c>
      <c r="J46" s="18">
        <f t="shared" ca="1" si="8"/>
        <v>0</v>
      </c>
      <c r="K46" s="18">
        <f t="shared" ca="1" si="9"/>
        <v>0</v>
      </c>
    </row>
    <row r="47" spans="1:11" x14ac:dyDescent="0.25">
      <c r="D47" s="16">
        <f t="shared" ca="1" si="10"/>
        <v>19</v>
      </c>
      <c r="E47" s="18">
        <f t="shared" ca="1" si="11"/>
        <v>0</v>
      </c>
      <c r="F47" s="18">
        <f t="shared" ca="1" si="4"/>
        <v>0</v>
      </c>
      <c r="G47" s="18">
        <f t="shared" ca="1" si="5"/>
        <v>0</v>
      </c>
      <c r="H47" s="18">
        <f t="shared" ca="1" si="6"/>
        <v>0</v>
      </c>
      <c r="I47" s="18">
        <f t="shared" ca="1" si="7"/>
        <v>0</v>
      </c>
      <c r="J47" s="18">
        <f t="shared" ca="1" si="8"/>
        <v>0</v>
      </c>
      <c r="K47" s="18">
        <f t="shared" ca="1" si="9"/>
        <v>0</v>
      </c>
    </row>
    <row r="48" spans="1:11" x14ac:dyDescent="0.25">
      <c r="D48" s="16">
        <f t="shared" ca="1" si="10"/>
        <v>20</v>
      </c>
      <c r="E48" s="18">
        <f t="shared" ca="1" si="11"/>
        <v>0</v>
      </c>
      <c r="F48" s="18">
        <f t="shared" ca="1" si="4"/>
        <v>0</v>
      </c>
      <c r="G48" s="18">
        <f t="shared" ca="1" si="5"/>
        <v>0</v>
      </c>
      <c r="H48" s="18">
        <f t="shared" ca="1" si="6"/>
        <v>0</v>
      </c>
      <c r="I48" s="18">
        <f t="shared" ca="1" si="7"/>
        <v>0</v>
      </c>
      <c r="J48" s="18">
        <f t="shared" ca="1" si="8"/>
        <v>0</v>
      </c>
      <c r="K48" s="18">
        <f t="shared" ca="1" si="9"/>
        <v>0</v>
      </c>
    </row>
  </sheetData>
  <mergeCells count="1">
    <mergeCell ref="A29:B35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8EF8A-3781-4312-978F-3FDD4635218E}">
  <dimension ref="A1:A20"/>
  <sheetViews>
    <sheetView showGridLines="0" zoomScaleNormal="100" workbookViewId="0">
      <selection activeCell="H19" sqref="H19"/>
    </sheetView>
  </sheetViews>
  <sheetFormatPr defaultColWidth="8.7109375" defaultRowHeight="15" x14ac:dyDescent="0.25"/>
  <cols>
    <col min="1" max="1" width="100" customWidth="1"/>
  </cols>
  <sheetData>
    <row r="1" spans="1:1" ht="24" customHeight="1" x14ac:dyDescent="0.25">
      <c r="A1" s="1" t="s">
        <v>83</v>
      </c>
    </row>
    <row r="2" spans="1:1" x14ac:dyDescent="0.25">
      <c r="A2" s="6"/>
    </row>
    <row r="3" spans="1:1" x14ac:dyDescent="0.25">
      <c r="A3" s="27" t="s">
        <v>84</v>
      </c>
    </row>
    <row r="4" spans="1:1" x14ac:dyDescent="0.25">
      <c r="A4" s="6" t="s">
        <v>85</v>
      </c>
    </row>
    <row r="5" spans="1:1" x14ac:dyDescent="0.25">
      <c r="A5" s="6" t="s">
        <v>86</v>
      </c>
    </row>
    <row r="6" spans="1:1" x14ac:dyDescent="0.25">
      <c r="A6" s="6" t="s">
        <v>87</v>
      </c>
    </row>
    <row r="7" spans="1:1" x14ac:dyDescent="0.25">
      <c r="A7" s="6" t="s">
        <v>88</v>
      </c>
    </row>
    <row r="8" spans="1:1" x14ac:dyDescent="0.25">
      <c r="A8" s="6" t="s">
        <v>89</v>
      </c>
    </row>
    <row r="9" spans="1:1" x14ac:dyDescent="0.25">
      <c r="A9" s="6"/>
    </row>
    <row r="10" spans="1:1" x14ac:dyDescent="0.25">
      <c r="A10" s="6" t="s">
        <v>90</v>
      </c>
    </row>
    <row r="11" spans="1:1" x14ac:dyDescent="0.25">
      <c r="A11" s="6" t="s">
        <v>91</v>
      </c>
    </row>
    <row r="12" spans="1:1" x14ac:dyDescent="0.25">
      <c r="A12" s="6" t="s">
        <v>92</v>
      </c>
    </row>
    <row r="13" spans="1:1" x14ac:dyDescent="0.25">
      <c r="A13" s="6"/>
    </row>
    <row r="14" spans="1:1" x14ac:dyDescent="0.25">
      <c r="A14" s="27" t="s">
        <v>93</v>
      </c>
    </row>
    <row r="15" spans="1:1" x14ac:dyDescent="0.25">
      <c r="A15" s="6" t="s">
        <v>94</v>
      </c>
    </row>
    <row r="16" spans="1:1" x14ac:dyDescent="0.25">
      <c r="A16" s="6" t="s">
        <v>95</v>
      </c>
    </row>
    <row r="17" spans="1:1" x14ac:dyDescent="0.25">
      <c r="A17" s="6" t="s">
        <v>96</v>
      </c>
    </row>
    <row r="18" spans="1:1" x14ac:dyDescent="0.25">
      <c r="A18" s="6" t="s">
        <v>97</v>
      </c>
    </row>
    <row r="19" spans="1:1" x14ac:dyDescent="0.25">
      <c r="A19" s="6"/>
    </row>
    <row r="20" spans="1:1" x14ac:dyDescent="0.25">
      <c r="A20" s="3" t="s">
        <v>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413c6f2c-219a-4692-97d3-f2b4d80281e7}" enabled="0" method="" siteId="{413c6f2c-219a-4692-97d3-f2b4d80281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Bobby's Deal</vt:lpstr>
      <vt:lpstr>Run Your Own</vt:lpstr>
      <vt:lpstr>Capital Investment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Luce, Patrick</dc:creator>
  <cp:lastModifiedBy>Luce, Patrick</cp:lastModifiedBy>
  <dcterms:created xsi:type="dcterms:W3CDTF">2026-07-01T15:06:51Z</dcterms:created>
  <dcterms:modified xsi:type="dcterms:W3CDTF">2026-07-01T15:08:21Z</dcterms:modified>
</cp:coreProperties>
</file>